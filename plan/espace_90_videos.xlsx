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Calendrier" sheetId="2" state="visible" r:id="rId4"/>
    <sheet name="Budget" sheetId="3" state="visible" r:id="rId5"/>
    <sheet name="Pipeline" sheetId="4" state="visible" r:id="rId6"/>
    <sheet name="Banque audio" sheetId="5" state="visible" r:id="rId7"/>
  </sheets>
  <definedNames>
    <definedName function="false" hidden="true" localSheetId="1" name="_xlnm._FilterDatabase" vbProcedure="false">Calendrier!$A$1:$U$91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<sst xmlns="http://schemas.openxmlformats.org/spreadsheetml/2006/main" count="1615" uniqueCount="1206">
  <si>
    <t xml:space="preserve">Chaîne vidéo Espace : 90 vidéos, 3 par jour pendant 30 jours</t>
  </si>
  <si>
    <t xml:space="preserve">Calendrier : une ligne par vidéo, dans l'ordre de publication. Script voix-off, 6 prompts d'image, SFX, musique, légende et prompt de production.</t>
  </si>
  <si>
    <t xml:space="preserve">Budget : coût estimé par vidéo en 3 formules (Éco / Standard / Premium). Les cellules en bleu sur fond jaune sont modifiables.</t>
  </si>
  <si>
    <t xml:space="preserve">Pipeline : les réglages communs (voix, sous-titres, Remotion, publication) et le prompt maître à me donner quand les connecteurs seront branchés.</t>
  </si>
  <si>
    <t xml:space="preserve">Banque audio : 12 SFX et 6 musiques à générer une seule fois puis réutiliser (c'est ce qui garde le budget bas).</t>
  </si>
  <si>
    <t xml:space="preserve">À modifier : la date de départ (Budget!B4, elle recalcule tout le planning) et la colonne Statut.</t>
  </si>
  <si>
    <t xml:space="preserve">Prix relevés sur fal.ai fin septembre 2026, en USD. Ils changent souvent : vérifie avant de lancer en volume.</t>
  </si>
  <si>
    <t xml:space="preserve">Les faits scientifiques ont été vérifiés, mais relis chaque script avant publication : sur une chaîne éducative, une erreur coûte cher en crédibilité.</t>
  </si>
  <si>
    <t xml:space="preserve">N°</t>
  </si>
  <si>
    <t xml:space="preserve">Jour</t>
  </si>
  <si>
    <t xml:space="preserve">Date</t>
  </si>
  <si>
    <t xml:space="preserve">Heure</t>
  </si>
  <si>
    <t xml:space="preserve">ID</t>
  </si>
  <si>
    <t xml:space="preserve">Série</t>
  </si>
  <si>
    <t xml:space="preserve">Titre</t>
  </si>
  <si>
    <t xml:space="preserve">Script voix-off</t>
  </si>
  <si>
    <t xml:space="preserve">Nb caractères</t>
  </si>
  <si>
    <t xml:space="preserve">Durée estimée (s)</t>
  </si>
  <si>
    <t xml:space="preserve">Scène 1 (hook, animée)</t>
  </si>
  <si>
    <t xml:space="preserve">Scène 2</t>
  </si>
  <si>
    <t xml:space="preserve">Scène 3</t>
  </si>
  <si>
    <t xml:space="preserve">Scène 4</t>
  </si>
  <si>
    <t xml:space="preserve">Scène 5</t>
  </si>
  <si>
    <t xml:space="preserve">Scène 6</t>
  </si>
  <si>
    <t xml:space="preserve">SFX</t>
  </si>
  <si>
    <t xml:space="preserve">Musique</t>
  </si>
  <si>
    <t xml:space="preserve">Légende + hashtags</t>
  </si>
  <si>
    <t xml:space="preserve">Prompt de production</t>
  </si>
  <si>
    <t xml:space="preserve">Statut</t>
  </si>
  <si>
    <t xml:space="preserve">08:00</t>
  </si>
  <si>
    <t xml:space="preserve">A01</t>
  </si>
  <si>
    <t xml:space="preserve">Et si… ?</t>
  </si>
  <si>
    <t xml:space="preserve">Et si la Lune disparaissait ?</t>
  </si>
  <si>
    <t xml:space="preserve">Imagine : ce soir, la Lune disparaît. Pas d'explosion, rien. Elle n'est juste plus là. Premier effet : les marées. Il en resterait, grâce au Soleil, mais elles seraient plus de deux fois plus faibles. Les côtes, les courants, toute la vie qui dépend du rythme des marées serait bouleversée. Les nuits deviendraient beaucoup plus noires. Et sur des millions d'années, l'axe de la Terre, que la Lune stabilise, pourrait se mettre à osciller. Résultat : des climats bien plus chaotiques. Cette petite boule grise nous protège plus qu'on ne le pense.</t>
  </si>
  <si>
    <t xml:space="preserve">Cinematic photorealistic space visualization, NASA/ESA documentary style, dramatic volumetric lighting, deep blacks, rich fine detail, vertical 9:16 composition, main subject in the upper two thirds, no text, no letters, no watermark, no logo. Scene: Full Moon glowing above a calm ocean at night</t>
  </si>
  <si>
    <t xml:space="preserve">Cinematic photorealistic space visualization, NASA/ESA documentary style, dramatic volumetric lighting, deep blacks, rich fine detail, vertical 9:16 composition, main subject in the upper two thirds, no text, no letters, no watermark, no logo. Scene: The Moon fading into transparent particles in a starry sky</t>
  </si>
  <si>
    <t xml:space="preserve">Cinematic photorealistic space visualization, NASA/ESA documentary style, dramatic volumetric lighting, deep blacks, rich fine detail, vertical 9:16 composition, main subject in the upper two thirds, no text, no letters, no watermark, no logo. Scene: Low tide beach with stranded boats under a dark sky</t>
  </si>
  <si>
    <t xml:space="preserve">Cinematic photorealistic space visualization, NASA/ESA documentary style, dramatic volumetric lighting, deep blacks, rich fine detail, vertical 9:16 composition, main subject in the upper two thirds, no text, no letters, no watermark, no logo. Scene: Pitch black night landscape lit only by stars</t>
  </si>
  <si>
    <t xml:space="preserve">Cinematic photorealistic space visualization, NASA/ESA documentary style, dramatic volumetric lighting, deep blacks, rich fine detail, vertical 9:16 composition, main subject in the upper two thirds, no text, no letters, no watermark, no logo. Scene: Earth seen from space with its axis visibly tilted and wobbling</t>
  </si>
  <si>
    <t xml:space="preserve">Cinematic photorealistic space visualization, NASA/ESA documentary style, dramatic volumetric lighting, deep blacks, rich fine detail, vertical 9:16 composition, main subject in the upper two thirds, no text, no letters, no watermark, no logo. Scene: Earth alone in space without its Moon, lonely composition</t>
  </si>
  <si>
    <t xml:space="preserve">whoosh, deep_boom</t>
  </si>
  <si>
    <t xml:space="preserve">mystery</t>
  </si>
  <si>
    <t xml:space="preserve">Et si la Lune disparaissait ? 🌌
Tu penses qu'on survivrait sans la Lune ?
#espace #etsi #science #univers #astronomie #shorts</t>
  </si>
  <si>
    <t xml:space="preserve">Produis la vidéo A01 « Et si la Lune disparaissait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deep_boom + musique « mystery » depuis la banque (-18 dB sous la voix, ducking). 6) Remotion : composition SpaceShort 1080×1920 30 fps, scènes calées sur les phrases, Ken Burns + parallaxe, sous-titres karaoké. 7) Contrôle qualité puis programmation BrightBean le J1 à 08:00 avec la légende fournie, label contenu IA activé.</t>
  </si>
  <si>
    <t xml:space="preserve">À produire</t>
  </si>
  <si>
    <t xml:space="preserve">12:30</t>
  </si>
  <si>
    <t xml:space="preserve">B01</t>
  </si>
  <si>
    <t xml:space="preserve">Échelle de l'univers</t>
  </si>
  <si>
    <t xml:space="preserve">Le Soleil est vraiment gigantesque</t>
  </si>
  <si>
    <t xml:space="preserve">Tu vois la Terre ? Aligne-en 109 côte à côte : tu obtiens le diamètre du Soleil. Et en volume, c'est encore plus fou : on pourrait y faire entrer environ 1,3 million de Terres. À lui seul, le Soleil représente 99,8 % de la masse de tout le Système solaire. Les planètes, les lunes, les astéroïdes ? Des miettes. Et pourtant, à l'échelle de la galaxie, c'est une étoile tout à fait moyenne. Il y en a des centaines de milliards comme lui, et certaines sont bien plus grosses.</t>
  </si>
  <si>
    <t xml:space="preserve">Cinematic photorealistic space visualization, NASA/ESA documentary style, dramatic volumetric lighting, deep blacks, rich fine detail, vertical 9:16 composition, main subject in the upper two thirds, no text, no letters, no watermark, no logo. Scene: Tiny Earth next to the enormous Sun surface</t>
  </si>
  <si>
    <t xml:space="preserve">Cinematic photorealistic space visualization, NASA/ESA documentary style, dramatic volumetric lighting, deep blacks, rich fine detail, vertical 9:16 composition, main subject in the upper two thirds, no text, no letters, no watermark, no logo. Scene: Row of 109 Earths spanning the Sun's diameter</t>
  </si>
  <si>
    <t xml:space="preserve">Cinematic photorealistic space visualization, NASA/ESA documentary style, dramatic volumetric lighting, deep blacks, rich fine detail, vertical 9:16 composition, main subject in the upper two thirds, no text, no letters, no watermark, no logo. Scene: Sun filled with countless tiny Earths, volume concept</t>
  </si>
  <si>
    <t xml:space="preserve">Cinematic photorealistic space visualization, NASA/ESA documentary style, dramatic volumetric lighting, deep blacks, rich fine detail, vertical 9:16 composition, main subject in the upper two thirds, no text, no letters, no watermark, no logo. Scene: Solar system with planets as crumbs beside the Sun</t>
  </si>
  <si>
    <t xml:space="preserve">Cinematic photorealistic space visualization, NASA/ESA documentary style, dramatic volumetric lighting, deep blacks, rich fine detail, vertical 9:16 composition, main subject in the upper two thirds, no text, no letters, no watermark, no logo. Scene: Sun as a small star among many in the Milky Way</t>
  </si>
  <si>
    <t xml:space="preserve">Cinematic photorealistic space visualization, NASA/ESA documentary style, dramatic volumetric lighting, deep blacks, rich fine detail, vertical 9:16 composition, main subject in the upper two thirds, no text, no letters, no watermark, no logo. Scene: Giant stars dwarfing the Sun, scale comparison</t>
  </si>
  <si>
    <t xml:space="preserve">whoosh, riser</t>
  </si>
  <si>
    <t xml:space="preserve">epic</t>
  </si>
  <si>
    <t xml:space="preserve">Le Soleil est vraiment gigantesque 🌌
Tu pensais qu'il était aussi gros ?
#espace #univers #astronomie #science #vertige #shorts</t>
  </si>
  <si>
    <t xml:space="preserve">Produis la vidéo B01 « Le Soleil est vraiment gigantesque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riser + musique « epic » depuis la banque (-18 dB sous la voix, ducking). 6) Remotion : composition SpaceShort 1080×1920 30 fps, scènes calées sur les phrases, Ken Burns + parallaxe, sous-titres karaoké. 7) Contrôle qualité puis programmation BrightBean le J1 à 12:30 avec la légende fournie, label contenu IA activé.</t>
  </si>
  <si>
    <t xml:space="preserve">19:00</t>
  </si>
  <si>
    <t xml:space="preserve">C01</t>
  </si>
  <si>
    <t xml:space="preserve">Planètes &amp; lunes</t>
  </si>
  <si>
    <t xml:space="preserve">Sur Vénus, un jour dure plus qu'un an</t>
  </si>
  <si>
    <t xml:space="preserve">Sur Vénus, un jour dure plus longtemps qu'une année. Elle met 243 jours terrestres à tourner sur elle-même, mais seulement 225 jours à faire le tour du Soleil. Et elle tourne à l'envers : là-bas, le Soleil se lève à l'ouest. En surface, il fait environ 465 degrés, assez pour faire fondre du plomb. La pression équivaut à celle qu'on subit à 900 mètres sous la mer. Les sondes soviétiques Venera qui s'y sont posées ont tenu au mieux deux heures. Vénus, c'est la jumelle infernale de la Terre.</t>
  </si>
  <si>
    <t xml:space="preserve">Cinematic photorealistic space visualization, NASA/ESA documentary style, dramatic volumetric lighting, deep blacks, rich fine detail, vertical 9:16 composition, main subject in the upper two thirds, no text, no letters, no watermark, no logo. Scene: Venus wrapped in thick yellow clouds</t>
  </si>
  <si>
    <t xml:space="preserve">Cinematic photorealistic space visualization, NASA/ESA documentary style, dramatic volumetric lighting, deep blacks, rich fine detail, vertical 9:16 composition, main subject in the upper two thirds, no text, no letters, no watermark, no logo. Scene: Calendar comparison: day longer than year on Venus</t>
  </si>
  <si>
    <t xml:space="preserve">Cinematic photorealistic space visualization, NASA/ESA documentary style, dramatic volumetric lighting, deep blacks, rich fine detail, vertical 9:16 composition, main subject in the upper two thirds, no text, no letters, no watermark, no logo. Scene: Sun rising in the west over a Venusian landscape</t>
  </si>
  <si>
    <t xml:space="preserve">Cinematic photorealistic space visualization, NASA/ESA documentary style, dramatic volumetric lighting, deep blacks, rich fine detail, vertical 9:16 composition, main subject in the upper two thirds, no text, no letters, no watermark, no logo. Scene: Molten lead droplets on scorching Venus rocks</t>
  </si>
  <si>
    <t xml:space="preserve">Cinematic photorealistic space visualization, NASA/ESA documentary style, dramatic volumetric lighting, deep blacks, rich fine detail, vertical 9:16 composition, main subject in the upper two thirds, no text, no letters, no watermark, no logo. Scene: Soviet Venera lander on orange volcanic ground</t>
  </si>
  <si>
    <t xml:space="preserve">Cinematic photorealistic space visualization, NASA/ESA documentary style, dramatic volumetric lighting, deep blacks, rich fine detail, vertical 9:16 composition, main subject in the upper two thirds, no text, no letters, no watermark, no logo. Scene: Earth and Venus side by side, twin planets</t>
  </si>
  <si>
    <t xml:space="preserve">rumble, crackle</t>
  </si>
  <si>
    <t xml:space="preserve">tension</t>
  </si>
  <si>
    <t xml:space="preserve">Sur Vénus, un jour dure plus qu'un an 🌌
Tu savais que le Soleil s'y levait à l'ouest ?
#espace #planetes #systemesolaire #astronomie #science #shorts</t>
  </si>
  <si>
    <t xml:space="preserve">Produis la vidéo C01 « Sur Vénus, un jour dure plus qu'un an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crackle + musique « tension » depuis la banque (-18 dB sous la voix, ducking). 6) Remotion : composition SpaceShort 1080×1920 30 fps, scènes calées sur les phrases, Ken Burns + parallaxe, sous-titres karaoké. 7) Contrôle qualité puis programmation BrightBean le J1 à 19:00 avec la légende fournie, label contenu IA activé.</t>
  </si>
  <si>
    <t xml:space="preserve">D01</t>
  </si>
  <si>
    <t xml:space="preserve">Étoiles &amp; trous noirs</t>
  </si>
  <si>
    <t xml:space="preserve">Comment naît une étoile</t>
  </si>
  <si>
    <t xml:space="preserve">Une étoile commence comme un nuage froid de gaz et de poussière. Un nuage immense, parfois sur des dizaines d'années-lumière. Un jour, une partie s'effondre sous son propre poids. Le cœur se compresse, chauffe, tourne de plus en plus vite. Quand il atteint environ 10 millions de degrés, la fusion nucléaire démarre : l'hydrogène devient de l'hélium. Une étoile est née. Autour, un disque de matière qui formera peut-être des planètes. C'est exactement ce qui est arrivé au Soleil, il y a 4,6 milliards d'années.</t>
  </si>
  <si>
    <t xml:space="preserve">Cinematic photorealistic space visualization, NASA/ESA documentary style, dramatic volumetric lighting, deep blacks, rich fine detail, vertical 9:16 composition, main subject in the upper two thirds, no text, no letters, no watermark, no logo. Scene: Vast cold nebula of gas and dust</t>
  </si>
  <si>
    <t xml:space="preserve">Cinematic photorealistic space visualization, NASA/ESA documentary style, dramatic volumetric lighting, deep blacks, rich fine detail, vertical 9:16 composition, main subject in the upper two thirds, no text, no letters, no watermark, no logo. Scene: Dense knot collapsing inside the nebula</t>
  </si>
  <si>
    <t xml:space="preserve">Cinematic photorealistic space visualization, NASA/ESA documentary style, dramatic volumetric lighting, deep blacks, rich fine detail, vertical 9:16 composition, main subject in the upper two thirds, no text, no letters, no watermark, no logo. Scene: Spinning protostar with jets</t>
  </si>
  <si>
    <t xml:space="preserve">Cinematic photorealistic space visualization, NASA/ESA documentary style, dramatic volumetric lighting, deep blacks, rich fine detail, vertical 9:16 composition, main subject in the upper two thirds, no text, no letters, no watermark, no logo. Scene: Core igniting with nuclear fusion glow</t>
  </si>
  <si>
    <t xml:space="preserve">Cinematic photorealistic space visualization, NASA/ESA documentary style, dramatic volumetric lighting, deep blacks, rich fine detail, vertical 9:16 composition, main subject in the upper two thirds, no text, no letters, no watermark, no logo. Scene: Protoplanetary disk around a newborn star</t>
  </si>
  <si>
    <t xml:space="preserve">Cinematic photorealistic space visualization, NASA/ESA documentary style, dramatic volumetric lighting, deep blacks, rich fine detail, vertical 9:16 composition, main subject in the upper two thirds, no text, no letters, no watermark, no logo. Scene: Young Sun with forming planets</t>
  </si>
  <si>
    <t xml:space="preserve">riser, deep_boom</t>
  </si>
  <si>
    <t xml:space="preserve">wonder</t>
  </si>
  <si>
    <t xml:space="preserve">Comment naît une étoile 🌌
Tu imaginais une naissance aussi longue ?
#espace #trounoir #etoiles #astrophysique #science #shorts</t>
  </si>
  <si>
    <t xml:space="preserve">Produis la vidéo D01 « Comment naît une étoile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deep_boom + musique « wonder » depuis la banque (-18 dB sous la voix, ducking). 6) Remotion : composition SpaceShort 1080×1920 30 fps, scènes calées sur les phrases, Ken Burns + parallaxe, sous-titres karaoké. 7) Contrôle qualité puis programmation BrightBean le J2 à 08:00 avec la légende fournie, label contenu IA activé.</t>
  </si>
  <si>
    <t xml:space="preserve">E01</t>
  </si>
  <si>
    <t xml:space="preserve">Histoire de la conquête spatiale</t>
  </si>
  <si>
    <t xml:space="preserve">Spoutnik, le bip qui a changé le monde</t>
  </si>
  <si>
    <t xml:space="preserve">4 octobre 1957. L'Union soviétique lance Spoutnik 1. Une sphère métallique de 58 centimètres, avec quatre antennes. Elle ne fait qu'une chose : émettre un bip radio. Mais ce bip, n'importe quel radioamateur peut le capter. Pour les États-Unis, c'est un choc. Les Soviétiques sont en avance. Moins d'un an plus tard naît la NASA. Spoutnik a tourné autour de la Terre pendant environ trois mois avant de se consumer dans l'atmosphère. Un simple bip venait de lancer la course à l'espace.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</si>
  <si>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Sputnik 1 shiny sphere with four antennas in orbit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</si>
  <si>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Soviet rocket launch at night, 1957 retro</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</si>
  <si>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Radio amateur listening with headphones, vintage room</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</si>
  <si>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1950s newspaper headlines concept, no readable text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</si>
  <si>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NASA founding era rocket hangar, retro</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</si>
  <si>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Sputnik burning up in the atmosphere</t>
  </si>
  <si>
    <t xml:space="preserve">beep, launch</t>
  </si>
  <si>
    <t xml:space="preserve">retro</t>
  </si>
  <si>
    <t xml:space="preserve">Spoutnik, le bip qui a changé le monde 🌌
Tu savais que n'importe qui pouvait capter le bip ?
#espace #histoire #conquetespatiale #nasa #science #shorts</t>
  </si>
  <si>
    <t xml:space="preserve">Produis la vidéo E01 « Spoutnik, le bip qui a changé le monde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beep, launch + musique « retro » depuis la banque (-18 dB sous la voix, ducking). 6) Remotion : composition SpaceShort 1080×1920 30 fps, scènes calées sur les phrases, Ken Burns + parallaxe, sous-titres karaoké. 7) Contrôle qualité puis programmation BrightBean le J2 à 12:30 avec la légende fournie, label contenu IA activé.</t>
  </si>
  <si>
    <t xml:space="preserve">F01</t>
  </si>
  <si>
    <t xml:space="preserve">Idées reçues</t>
  </si>
  <si>
    <t xml:space="preserve">Il n'y a pas de gravité dans l'ISS ? Faux</t>
  </si>
  <si>
    <t xml:space="preserve">Les astronautes flottent dans l'ISS parce qu'il n'y a pas de gravité ? Faux. À 400 km d'altitude, la gravité est encore d'environ 90 % de celle au sol. Alors pourquoi ils flottent ? Parce qu'ils sont en chute libre permanente. La station tombe vers la Terre... mais elle va tellement vite, près de 28 000 km/h, qu'elle rate le sol en permanence. Elle tombe autour de la Terre. Et comme les astronautes tombent à la même vitesse que la station, ils flottent. L'orbite, c'est une chute infinie.</t>
  </si>
  <si>
    <t xml:space="preserve">Cinematic photorealistic space visualization, NASA/ESA documentary style, dramatic volumetric lighting, deep blacks, rich fine detail, vertical 9:16 composition, main subject in the upper two thirds, no text, no letters, no watermark, no logo. Scene: Astronaut floating inside the ISS</t>
  </si>
  <si>
    <t xml:space="preserve">Cinematic photorealistic space visualization, NASA/ESA documentary style, dramatic volumetric lighting, deep blacks, rich fine detail, vertical 9:16 composition, main subject in the upper two thirds, no text, no letters, no watermark, no logo. Scene: Gravity arrows still strong at orbital altitude</t>
  </si>
  <si>
    <t xml:space="preserve">Cinematic photorealistic space visualization, NASA/ESA documentary style, dramatic volumetric lighting, deep blacks, rich fine detail, vertical 9:16 composition, main subject in the upper two thirds, no text, no letters, no watermark, no logo. Scene: ISS falling around Earth, curved path</t>
  </si>
  <si>
    <t xml:space="preserve">Cinematic photorealistic space visualization, NASA/ESA documentary style, dramatic volumetric lighting, deep blacks, rich fine detail, vertical 9:16 composition, main subject in the upper two thirds, no text, no letters, no watermark, no logo. Scene: Cannonball thought experiment from a mountain</t>
  </si>
  <si>
    <t xml:space="preserve">Cinematic photorealistic space visualization, NASA/ESA documentary style, dramatic volumetric lighting, deep blacks, rich fine detail, vertical 9:16 composition, main subject in the upper two thirds, no text, no letters, no watermark, no logo. Scene: Astronaut and station falling together, concept</t>
  </si>
  <si>
    <t xml:space="preserve">Cinematic photorealistic space visualization, NASA/ESA documentary style, dramatic volumetric lighting, deep blacks, rich fine detail, vertical 9:16 composition, main subject in the upper two thirds, no text, no letters, no watermark, no logo. Scene: ISS over Earth horizon</t>
  </si>
  <si>
    <t xml:space="preserve">whoosh, chime</t>
  </si>
  <si>
    <t xml:space="preserve">calm</t>
  </si>
  <si>
    <t xml:space="preserve">Il n'y a pas de gravité dans l'ISS ? Faux 🌌
Tu pensais qu'il n'y avait pas de gravité ?
#espace #idéesreçues #science #astronomie #lesavaistu #shorts</t>
  </si>
  <si>
    <t xml:space="preserve">Produis la vidéo F01 « Il n'y a pas de gravité dans l'ISS ? Faux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calm » depuis la banque (-18 dB sous la voix, ducking). 6) Remotion : composition SpaceShort 1080×1920 30 fps, scènes calées sur les phrases, Ken Burns + parallaxe, sous-titres karaoké. 7) Contrôle qualité puis programmation BrightBean le J2 à 19:00 avec la légende fournie, label contenu IA activé.</t>
  </si>
  <si>
    <t xml:space="preserve">A02</t>
  </si>
  <si>
    <t xml:space="preserve">Et si la Terre arrêtait de tourner ?</t>
  </si>
  <si>
    <t xml:space="preserve">À l'équateur, tu tournes en ce moment à environ 1 670 km/h. Sans le sentir. Maintenant, imagine que la Terre s'arrête net. Toi, l'air, les océans, vous continuez à avancer à cette vitesse. Des vents plus violents que n'importe quel ouragan, des vagues gigantesques. Et si l'arrêt était progressif ? Les océans migreraient vers les pôles, laissant un immense continent à l'équateur. Un jour durerait un an entier : six mois de lumière brûlante, six mois de nuit glaciale. Heureusement, rien ne peut arrêter la Terre comme ça.</t>
  </si>
  <si>
    <t xml:space="preserve">Cinematic photorealistic space visualization, NASA/ESA documentary style, dramatic volumetric lighting, deep blacks, rich fine detail, vertical 9:16 composition, main subject in the upper two thirds, no text, no letters, no watermark, no logo. Scene: Earth spinning in space with motion trails at the equator</t>
  </si>
  <si>
    <t xml:space="preserve">Cinematic photorealistic space visualization, NASA/ESA documentary style, dramatic volumetric lighting, deep blacks, rich fine detail, vertical 9:16 composition, main subject in the upper two thirds, no text, no letters, no watermark, no logo. Scene: City skyline hit by a gigantic wall of wind and debris</t>
  </si>
  <si>
    <t xml:space="preserve">Cinematic photorealistic space visualization, NASA/ESA documentary style, dramatic volumetric lighting, deep blacks, rich fine detail, vertical 9:16 composition, main subject in the upper two thirds, no text, no letters, no watermark, no logo. Scene: Colossal tsunami wave rising over a coastline</t>
  </si>
  <si>
    <t xml:space="preserve">Cinematic photorealistic space visualization, NASA/ESA documentary style, dramatic volumetric lighting, deep blacks, rich fine detail, vertical 9:16 composition, main subject in the upper two thirds, no text, no letters, no watermark, no logo. Scene: Globe with oceans pooled at both poles and a bare equatorial continent</t>
  </si>
  <si>
    <t xml:space="preserve">Cinematic photorealistic space visualization, NASA/ESA documentary style, dramatic volumetric lighting, deep blacks, rich fine detail, vertical 9:16 composition, main subject in the upper two thirds, no text, no letters, no watermark, no logo. Scene: Scorched desert under a motionless blazing sun</t>
  </si>
  <si>
    <t xml:space="preserve">Cinematic photorealistic space visualization, NASA/ESA documentary style, dramatic volumetric lighting, deep blacks, rich fine detail, vertical 9:16 composition, main subject in the upper two thirds, no text, no letters, no watermark, no logo. Scene: Frozen night side of Earth under stars</t>
  </si>
  <si>
    <t xml:space="preserve">rumble, whoosh, deep_boom</t>
  </si>
  <si>
    <t xml:space="preserve">Et si la Terre arrêtait de tourner ? 🌌
Tu choisirais le côté jour ou le côté nuit ?
#espace #etsi #science #univers #astronomie #shorts</t>
  </si>
  <si>
    <t xml:space="preserve">Produis la vidéo A02 « Et si la Terre arrêtait de tourner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whoosh, deep_boom + musique « tension » depuis la banque (-18 dB sous la voix, ducking). 6) Remotion : composition SpaceShort 1080×1920 30 fps, scènes calées sur les phrases, Ken Burns + parallaxe, sous-titres karaoké. 7) Contrôle qualité puis programmation BrightBean le J3 à 08:00 avec la légende fournie, label contenu IA activé.</t>
  </si>
  <si>
    <t xml:space="preserve">B02</t>
  </si>
  <si>
    <t xml:space="preserve">L'étoile la plus grosse qu'on connaisse</t>
  </si>
  <si>
    <t xml:space="preserve">Si tu mettais Stephenson 2-18 à la place du Soleil, sa surface dépasserait peut-être l'orbite de Saturne. Cette supergéante rouge ferait environ 2 000 fois le rayon du Soleil, selon certaines estimations. On reste prudents : mesurer une étoile aussi lointaine, c'est très difficile. Un avion de ligne mettrait des siècles à en faire le tour. Et pourtant, elle est beaucoup moins massive que sa taille le laisse croire. C'est un ballon gigantesque, gonflé, en fin de vie. Un jour, elle explosera.</t>
  </si>
  <si>
    <t xml:space="preserve">Cinematic photorealistic space visualization, NASA/ESA documentary style, dramatic volumetric lighting, deep blacks, rich fine detail, vertical 9:16 composition, main subject in the upper two thirds, no text, no letters, no watermark, no logo. Scene: Enormous red supergiant star filling the frame</t>
  </si>
  <si>
    <t xml:space="preserve">Cinematic photorealistic space visualization, NASA/ESA documentary style, dramatic volumetric lighting, deep blacks, rich fine detail, vertical 9:16 composition, main subject in the upper two thirds, no text, no letters, no watermark, no logo. Scene: Solar system orbits inside a red supergiant outline</t>
  </si>
  <si>
    <t xml:space="preserve">Cinematic photorealistic space visualization, NASA/ESA documentary style, dramatic volumetric lighting, deep blacks, rich fine detail, vertical 9:16 composition, main subject in the upper two thirds, no text, no letters, no watermark, no logo. Scene: Scale: Sun as a tiny dot next to a supergiant</t>
  </si>
  <si>
    <t xml:space="preserve">Cinematic photorealistic space visualization, NASA/ESA documentary style, dramatic volumetric lighting, deep blacks, rich fine detail, vertical 9:16 composition, main subject in the upper two thirds, no text, no letters, no watermark, no logo. Scene: Airplane circling a colossal star, whimsical scale</t>
  </si>
  <si>
    <t xml:space="preserve">Cinematic photorealistic space visualization, NASA/ESA documentary style, dramatic volumetric lighting, deep blacks, rich fine detail, vertical 9:16 composition, main subject in the upper two thirds, no text, no letters, no watermark, no logo. Scene: Diffuse glowing outer layers of a supergiant</t>
  </si>
  <si>
    <t xml:space="preserve">Cinematic photorealistic space visualization, NASA/ESA documentary style, dramatic volumetric lighting, deep blacks, rich fine detail, vertical 9:16 composition, main subject in the upper two thirds, no text, no letters, no watermark, no logo. Scene: Supergiant star beginning to collapse</t>
  </si>
  <si>
    <t xml:space="preserve">L'étoile la plus grosse qu'on connaisse 🌌
Tu connaissais cette étoile ?
#espace #univers #astronomie #science #vertige #shorts</t>
  </si>
  <si>
    <t xml:space="preserve">Produis la vidéo B02 « L'étoile la plus grosse qu'on connaisse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deep_boom + musique « epic » depuis la banque (-18 dB sous la voix, ducking). 6) Remotion : composition SpaceShort 1080×1920 30 fps, scènes calées sur les phrases, Ken Burns + parallaxe, sous-titres karaoké. 7) Contrôle qualité puis programmation BrightBean le J3 à 12:30 avec la légende fournie, label contenu IA activé.</t>
  </si>
  <si>
    <t xml:space="preserve">C02</t>
  </si>
  <si>
    <t xml:space="preserve">Uranus roule sur le côté</t>
  </si>
  <si>
    <t xml:space="preserve">Uranus est couchée sur le côté. Son axe est incliné d'environ 98 degrés : elle roule autour du Soleil comme une boule de bowling. Conséquence : ses saisons sont extrêmes. Une année sur Uranus dure 84 ans. Chaque pôle passe environ 42 ans en plein jour, puis 42 ans dans la nuit. Pourquoi une telle inclinaison ? L'hypothèse la plus répandue : une collision géante avec un corps de la taille de la Terre, il y a très longtemps. Une seule sonde l'a visitée : Voyager 2, en 1986.</t>
  </si>
  <si>
    <t xml:space="preserve">Cinematic photorealistic space visualization, NASA/ESA documentary style, dramatic volumetric lighting, deep blacks, rich fine detail, vertical 9:16 composition, main subject in the upper two thirds, no text, no letters, no watermark, no logo. Scene: Uranus tilted on its side with faint rings</t>
  </si>
  <si>
    <t xml:space="preserve">Cinematic photorealistic space visualization, NASA/ESA documentary style, dramatic volumetric lighting, deep blacks, rich fine detail, vertical 9:16 composition, main subject in the upper two thirds, no text, no letters, no watermark, no logo. Scene: Uranus rolling along its orbit like a ball</t>
  </si>
  <si>
    <t xml:space="preserve">Cinematic photorealistic space visualization, NASA/ESA documentary style, dramatic volumetric lighting, deep blacks, rich fine detail, vertical 9:16 composition, main subject in the upper two thirds, no text, no letters, no watermark, no logo. Scene: Pole of Uranus in endless daylight</t>
  </si>
  <si>
    <t xml:space="preserve">Cinematic photorealistic space visualization, NASA/ESA documentary style, dramatic volumetric lighting, deep blacks, rich fine detail, vertical 9:16 composition, main subject in the upper two thirds, no text, no letters, no watermark, no logo. Scene: Same pole in long darkness</t>
  </si>
  <si>
    <t xml:space="preserve">Cinematic photorealistic space visualization, NASA/ESA documentary style, dramatic volumetric lighting, deep blacks, rich fine detail, vertical 9:16 composition, main subject in the upper two thirds, no text, no letters, no watermark, no logo. Scene: Giant impact with young Uranus</t>
  </si>
  <si>
    <t xml:space="preserve">Cinematic photorealistic space visualization, NASA/ESA documentary style, dramatic volumetric lighting, deep blacks, rich fine detail, vertical 9:16 composition, main subject in the upper two thirds, no text, no letters, no watermark, no logo. Scene: Voyager 2 flying past Uranus</t>
  </si>
  <si>
    <t xml:space="preserve">Uranus roule sur le côté 🌌
42 ans de jour, 42 ans de nuit. Tu tiendrais ?
#espace #planetes #systemesolaire #astronomie #science #shorts</t>
  </si>
  <si>
    <t xml:space="preserve">Produis la vidéo C02 « Uranus roule sur le côté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deep_boom + musique « mystery » depuis la banque (-18 dB sous la voix, ducking). 6) Remotion : composition SpaceShort 1080×1920 30 fps, scènes calées sur les phrases, Ken Burns + parallaxe, sous-titres karaoké. 7) Contrôle qualité puis programmation BrightBean le J3 à 19:00 avec la légende fournie, label contenu IA activé.</t>
  </si>
  <si>
    <t xml:space="preserve">D02</t>
  </si>
  <si>
    <t xml:space="preserve">Comment va mourir le Soleil</t>
  </si>
  <si>
    <t xml:space="preserve">Le Soleil a environ 4,6 milliards d'années. Il est à peu près à la moitié de sa vie. Dans environ 5 milliards d'années, il manquera d'hydrogène dans son cœur. Il va gonfler et devenir une géante rouge. Mercure et Vénus seront avalées. La Terre ? Peut-être aussi, les modèles hésitent. Puis il expulsera ses couches externes en une magnifique nébuleuse. Au centre, il restera une naine blanche, de la taille de la Terre, qui refroidira pendant des milliards d'années. Pas d'explosion, il est trop petit pour ça.</t>
  </si>
  <si>
    <t xml:space="preserve">Cinematic photorealistic space visualization, NASA/ESA documentary style, dramatic volumetric lighting, deep blacks, rich fine detail, vertical 9:16 composition, main subject in the upper two thirds, no text, no letters, no watermark, no logo. Scene: Sun at midlife, calm and bright</t>
  </si>
  <si>
    <t xml:space="preserve">Cinematic photorealistic space visualization, NASA/ESA documentary style, dramatic volumetric lighting, deep blacks, rich fine detail, vertical 9:16 composition, main subject in the upper two thirds, no text, no letters, no watermark, no logo. Scene: Sun swelling into a red giant</t>
  </si>
  <si>
    <t xml:space="preserve">Cinematic photorealistic space visualization, NASA/ESA documentary style, dramatic volumetric lighting, deep blacks, rich fine detail, vertical 9:16 composition, main subject in the upper two thirds, no text, no letters, no watermark, no logo. Scene: Red giant engulfing inner planets</t>
  </si>
  <si>
    <t xml:space="preserve">Cinematic photorealistic space visualization, NASA/ESA documentary style, dramatic volumetric lighting, deep blacks, rich fine detail, vertical 9:16 composition, main subject in the upper two thirds, no text, no letters, no watermark, no logo. Scene: Scorched Earth under a giant red sun</t>
  </si>
  <si>
    <t xml:space="preserve">Cinematic photorealistic space visualization, NASA/ESA documentary style, dramatic volumetric lighting, deep blacks, rich fine detail, vertical 9:16 composition, main subject in the upper two thirds, no text, no letters, no watermark, no logo. Scene: Colorful planetary nebula shell</t>
  </si>
  <si>
    <t xml:space="preserve">Cinematic photorealistic space visualization, NASA/ESA documentary style, dramatic volumetric lighting, deep blacks, rich fine detail, vertical 9:16 composition, main subject in the upper two thirds, no text, no letters, no watermark, no logo. Scene: Tiny white dwarf at the center</t>
  </si>
  <si>
    <t xml:space="preserve">rumble, riser</t>
  </si>
  <si>
    <t xml:space="preserve">Comment va mourir le Soleil 🌌
5 milliards d'années, ça te rassure ?
#espace #trounoir #etoiles #astrophysique #science #shorts</t>
  </si>
  <si>
    <t xml:space="preserve">Produis la vidéo D02 « Comment va mourir le Soleil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riser + musique « mystery » depuis la banque (-18 dB sous la voix, ducking). 6) Remotion : composition SpaceShort 1080×1920 30 fps, scènes calées sur les phrases, Ken Burns + parallaxe, sous-titres karaoké. 7) Contrôle qualité puis programmation BrightBean le J4 à 08:00 avec la légende fournie, label contenu IA activé.</t>
  </si>
  <si>
    <t xml:space="preserve">E02</t>
  </si>
  <si>
    <t xml:space="preserve">Laïka, première passagère de l'orbite</t>
  </si>
  <si>
    <t xml:space="preserve">Novembre 1957, un mois après Spoutnik 1. L'URSS envoie un être vivant en orbite : Laïka, une chienne des rues de Moscou. Elle devient le premier animal à faire le tour de la Terre. Mais la mission n'avait pas de retour prévu. Et on a appris bien plus tard qu'elle était morte quelques heures après le lancement, à cause de la surchauffe de la capsule. Son vol a prouvé qu'un organisme vivant pouvait supporter le lancement et l'apesanteur. Elle a ouvert la voie aux humains. Aujourd'hui, un monument lui rend hommage à Moscou.</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</si>
  <si>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Portrait of a small mixed-breed dog, dignified, vintage tones</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</si>
  <si>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Sputnik 2 capsule in orbit above Earth</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</si>
  <si>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Moscow street in the 1950s, retro</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</si>
  <si>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Dog silhouette against Earth from orbit, respectful</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</si>
  <si>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Scientists in a 1950s control room</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</si>
  <si>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Commemorative monument with a dog on a rocket, respectful</t>
  </si>
  <si>
    <t xml:space="preserve">beep</t>
  </si>
  <si>
    <t xml:space="preserve">Laïka, première passagère de l'orbite 🌌
Tu connaissais son histoire ?
#espace #histoire #conquetespatiale #nasa #science #shorts</t>
  </si>
  <si>
    <t xml:space="preserve">Produis la vidéo E02 « Laïka, première passagère de l'orbite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beep + musique « calm » depuis la banque (-18 dB sous la voix, ducking). 6) Remotion : composition SpaceShort 1080×1920 30 fps, scènes calées sur les phrases, Ken Burns + parallaxe, sous-titres karaoké. 7) Contrôle qualité puis programmation BrightBean le J4 à 12:30 avec la légende fournie, label contenu IA activé.</t>
  </si>
  <si>
    <t xml:space="preserve">F02</t>
  </si>
  <si>
    <t xml:space="preserve">La face cachée de la Lune n'est pas sombre</t>
  </si>
  <si>
    <t xml:space="preserve">La face cachée de la Lune n'est pas la face sombre. Elle reçoit autant de soleil que l'autre. Elle est juste cachée... pour nous. La Lune met exactement le même temps à tourner sur elle-même qu'à tourner autour de la Terre. Du coup, elle nous montre toujours la même face. Pendant la nouvelle lune, quand on ne voit rien, c'est justement la face cachée qui est en plein soleil. Et en 2019, la sonde chinoise Chang'e 4 est devenue le premier engin à s'y poser en douceur.</t>
  </si>
  <si>
    <t xml:space="preserve">Cinematic photorealistic space visualization, NASA/ESA documentary style, dramatic volumetric lighting, deep blacks, rich fine detail, vertical 9:16 composition, main subject in the upper two thirds, no text, no letters, no watermark, no logo. Scene: Far side of the Moon brightly lit by the Sun</t>
  </si>
  <si>
    <t xml:space="preserve">Cinematic photorealistic space visualization, NASA/ESA documentary style, dramatic volumetric lighting, deep blacks, rich fine detail, vertical 9:16 composition, main subject in the upper two thirds, no text, no letters, no watermark, no logo. Scene: Moon rotating while orbiting Earth, same face</t>
  </si>
  <si>
    <t xml:space="preserve">Cinematic photorealistic space visualization, NASA/ESA documentary style, dramatic volumetric lighting, deep blacks, rich fine detail, vertical 9:16 composition, main subject in the upper two thirds, no text, no letters, no watermark, no logo. Scene: New moon phase with far side illuminated</t>
  </si>
  <si>
    <t xml:space="preserve">Cinematic photorealistic space visualization, NASA/ESA documentary style, dramatic volumetric lighting, deep blacks, rich fine detail, vertical 9:16 composition, main subject in the upper two thirds, no text, no letters, no watermark, no logo. Scene: Cratered far side terrain close-up</t>
  </si>
  <si>
    <t xml:space="preserve">Cinematic photorealistic space visualization, NASA/ESA documentary style, dramatic volumetric lighting, deep blacks, rich fine detail, vertical 9:16 composition, main subject in the upper two thirds, no text, no letters, no watermark, no logo. Scene: Chang'e 4 lander on lunar far side</t>
  </si>
  <si>
    <t xml:space="preserve">Cinematic photorealistic space visualization, NASA/ESA documentary style, dramatic volumetric lighting, deep blacks, rich fine detail, vertical 9:16 composition, main subject in the upper two thirds, no text, no letters, no watermark, no logo. Scene: Earth-facing near side with dark maria</t>
  </si>
  <si>
    <t xml:space="preserve">La face cachée de la Lune n'est pas sombre 🌌
Tu disais 'face sombre' toi aussi ?
#espace #idéesreçues #science #astronomie #lesavaistu #shorts</t>
  </si>
  <si>
    <t xml:space="preserve">Produis la vidéo F02 « La face cachée de la Lune n'est pas sombre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calm » depuis la banque (-18 dB sous la voix, ducking). 6) Remotion : composition SpaceShort 1080×1920 30 fps, scènes calées sur les phrases, Ken Burns + parallaxe, sous-titres karaoké. 7) Contrôle qualité puis programmation BrightBean le J4 à 19:00 avec la légende fournie, label contenu IA activé.</t>
  </si>
  <si>
    <t xml:space="preserve">A03</t>
  </si>
  <si>
    <t xml:space="preserve">Et si tu tombais dans un trou noir ?</t>
  </si>
  <si>
    <t xml:space="preserve">Tu tombes dans un trou noir. Ce qui t'arrive dépend de sa taille. Un petit trou noir, de quelques masses solaires ? La gravité tire beaucoup plus fort sur tes pieds que sur ta tête. Tu es étiré comme un spaghetti. Les physiciens appellent vraiment ça la spaghettification. Mais un trou noir supermassif, des millions de fois la masse du Soleil ? Tu traverses l'horizon sans rien sentir. Aucun mur, aucune alarme. Sauf que tu ne pourras plus jamais ressortir. Et ce qui se passe ensuite, personne ne le sait.</t>
  </si>
  <si>
    <t xml:space="preserve">Cinematic photorealistic space visualization, NASA/ESA documentary style, dramatic volumetric lighting, deep blacks, rich fine detail, vertical 9:16 composition, main subject in the upper two thirds, no text, no letters, no watermark, no logo. Scene: Astronaut floating toward a glowing black hole accretion disk</t>
  </si>
  <si>
    <t xml:space="preserve">Cinematic photorealistic space visualization, NASA/ESA documentary style, dramatic volumetric lighting, deep blacks, rich fine detail, vertical 9:16 composition, main subject in the upper two thirds, no text, no letters, no watermark, no logo. Scene: Stretched distorted astronaut silhouette near a small black hole, abstract</t>
  </si>
  <si>
    <t xml:space="preserve">Cinematic photorealistic space visualization, NASA/ESA documentary style, dramatic volumetric lighting, deep blacks, rich fine detail, vertical 9:16 composition, main subject in the upper two thirds, no text, no letters, no watermark, no logo. Scene: Gigantic supermassive black hole dwarfing a tiny astronaut</t>
  </si>
  <si>
    <t xml:space="preserve">Cinematic photorealistic space visualization, NASA/ESA documentary style, dramatic volumetric lighting, deep blacks, rich fine detail, vertical 9:16 composition, main subject in the upper two thirds, no text, no letters, no watermark, no logo. Scene: View from inside the event horizon, warped starlight</t>
  </si>
  <si>
    <t xml:space="preserve">Cinematic photorealistic space visualization, NASA/ESA documentary style, dramatic volumetric lighting, deep blacks, rich fine detail, vertical 9:16 composition, main subject in the upper two thirds, no text, no letters, no watermark, no logo. Scene: Swirling orange accretion disk with gravitational lensing</t>
  </si>
  <si>
    <t xml:space="preserve">Cinematic photorealistic space visualization, NASA/ESA documentary style, dramatic volumetric lighting, deep blacks, rich fine detail, vertical 9:16 composition, main subject in the upper two thirds, no text, no letters, no watermark, no logo. Scene: Pure darkness with a faint ring of light</t>
  </si>
  <si>
    <t xml:space="preserve">riser, heartbeat, deep_boom</t>
  </si>
  <si>
    <t xml:space="preserve">Et si tu tombais dans un trou noir ? 🌌
Tu préférerais tomber dans lequel ?
#espace #etsi #science #univers #astronomie #shorts</t>
  </si>
  <si>
    <t xml:space="preserve">Produis la vidéo A03 « Et si tu tombais dans un trou noir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heartbeat, deep_boom + musique « tension » depuis la banque (-18 dB sous la voix, ducking). 6) Remotion : composition SpaceShort 1080×1920 30 fps, scènes calées sur les phrases, Ken Burns + parallaxe, sous-titres karaoké. 7) Contrôle qualité puis programmation BrightBean le J5 à 08:00 avec la légende fournie, label contenu IA activé.</t>
  </si>
  <si>
    <t xml:space="preserve">B03</t>
  </si>
  <si>
    <t xml:space="preserve">Toutes les planètes entre la Terre et la Lune</t>
  </si>
  <si>
    <t xml:space="preserve">La Lune est à environ 384 000 km de nous. C'est loin ? Voici une expérience. Prends Mercure, Vénus, Mars, Jupiter, Saturne, Uranus et Neptune. Mets-les côte à côte entre la Terre et la Lune. À distance moyenne, elles rentrent. De justesse, mais elles rentrent. Jupiter et Saturne prennent presque tout l'espace à elles seules. Ça te donne une idée de deux choses : à quel point les planètes géantes sont énormes, et à quel point l'espace est vide.</t>
  </si>
  <si>
    <t xml:space="preserve">Cinematic photorealistic space visualization, NASA/ESA documentary style, dramatic volumetric lighting, deep blacks, rich fine detail, vertical 9:16 composition, main subject in the upper two thirds, no text, no letters, no watermark, no logo. Scene: Earth and Moon with the gap between them</t>
  </si>
  <si>
    <t xml:space="preserve">Cinematic photorealistic space visualization, NASA/ESA documentary style, dramatic volumetric lighting, deep blacks, rich fine detail, vertical 9:16 composition, main subject in the upper two thirds, no text, no letters, no watermark, no logo. Scene: All planets lined up between Earth and Moon</t>
  </si>
  <si>
    <t xml:space="preserve">Cinematic photorealistic space visualization, NASA/ESA documentary style, dramatic volumetric lighting, deep blacks, rich fine detail, vertical 9:16 composition, main subject in the upper two thirds, no text, no letters, no watermark, no logo. Scene: Jupiter and Saturn dominating the lineup</t>
  </si>
  <si>
    <t xml:space="preserve">Cinematic photorealistic space visualization, NASA/ESA documentary style, dramatic volumetric lighting, deep blacks, rich fine detail, vertical 9:16 composition, main subject in the upper two thirds, no text, no letters, no watermark, no logo. Scene: Close-up of the tight fit near the Moon</t>
  </si>
  <si>
    <t xml:space="preserve">Cinematic photorealistic space visualization, NASA/ESA documentary style, dramatic volumetric lighting, deep blacks, rich fine detail, vertical 9:16 composition, main subject in the upper two thirds, no text, no letters, no watermark, no logo. Scene: Wide shot emphasizing empty space</t>
  </si>
  <si>
    <t xml:space="preserve">Cinematic photorealistic space visualization, NASA/ESA documentary style, dramatic volumetric lighting, deep blacks, rich fine detail, vertical 9:16 composition, main subject in the upper two thirds, no text, no letters, no watermark, no logo. Scene: Earth small and blue at the start of the lineup</t>
  </si>
  <si>
    <t xml:space="preserve">Toutes les planètes entre la Terre et la Lune 🌌
Tu aurais parié qu'elles rentraient ?
#espace #univers #astronomie #science #vertige #shorts</t>
  </si>
  <si>
    <t xml:space="preserve">Produis la vidéo B03 « Toutes les planètes entre la Terre et la Lune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wonder » depuis la banque (-18 dB sous la voix, ducking). 6) Remotion : composition SpaceShort 1080×1920 30 fps, scènes calées sur les phrases, Ken Burns + parallaxe, sous-titres karaoké. 7) Contrôle qualité puis programmation BrightBean le J5 à 12:30 avec la légende fournie, label contenu IA activé.</t>
  </si>
  <si>
    <t xml:space="preserve">C03</t>
  </si>
  <si>
    <t xml:space="preserve">Europe, la lune qui cache un océan</t>
  </si>
  <si>
    <t xml:space="preserve">Sous la glace d'Europe, une lune de Jupiter, se cache un océan. Et il contiendrait environ deux fois plus d'eau que tous les océans de la Terre réunis. Chauffé par les marées de Jupiter, cet océan resterait liquide depuis des milliards d'années. De l'eau, de l'énergie, des éléments chimiques : c'est l'un des meilleurs endroits pour chercher de la vie ailleurs. La sonde Europa Clipper est partie en octobre 2024. Elle doit arriver en 2030 pour survoler Europe des dizaines de fois.</t>
  </si>
  <si>
    <t xml:space="preserve">Cinematic photorealistic space visualization, NASA/ESA documentary style, dramatic volumetric lighting, deep blacks, rich fine detail, vertical 9:16 composition, main subject in the upper two thirds, no text, no letters, no watermark, no logo. Scene: Europa icy moon with cracked surface, Jupiter behind</t>
  </si>
  <si>
    <t xml:space="preserve">Cinematic photorealistic space visualization, NASA/ESA documentary style, dramatic volumetric lighting, deep blacks, rich fine detail, vertical 9:16 composition, main subject in the upper two thirds, no text, no letters, no watermark, no logo. Scene: Cross-section: ice shell over a deep global ocean</t>
  </si>
  <si>
    <t xml:space="preserve">Cinematic photorealistic space visualization, NASA/ESA documentary style, dramatic volumetric lighting, deep blacks, rich fine detail, vertical 9:16 composition, main subject in the upper two thirds, no text, no letters, no watermark, no logo. Scene: Water volume comparison with Earth's oceans</t>
  </si>
  <si>
    <t xml:space="preserve">Cinematic photorealistic space visualization, NASA/ESA documentary style, dramatic volumetric lighting, deep blacks, rich fine detail, vertical 9:16 composition, main subject in the upper two thirds, no text, no letters, no watermark, no logo. Scene: Dark ocean under ice with hydrothermal glow</t>
  </si>
  <si>
    <t xml:space="preserve">Cinematic photorealistic space visualization, NASA/ESA documentary style, dramatic volumetric lighting, deep blacks, rich fine detail, vertical 9:16 composition, main subject in the upper two thirds, no text, no letters, no watermark, no logo. Scene: Europa Clipper spacecraft with huge solar panels</t>
  </si>
  <si>
    <t xml:space="preserve">Cinematic photorealistic space visualization, NASA/ESA documentary style, dramatic volumetric lighting, deep blacks, rich fine detail, vertical 9:16 composition, main subject in the upper two thirds, no text, no letters, no watermark, no logo. Scene: Clipper flying over Europa's cracked ice</t>
  </si>
  <si>
    <t xml:space="preserve">glass_crack, whoosh</t>
  </si>
  <si>
    <t xml:space="preserve">Europe, la lune qui cache un océan 🌌
Tu crois qu'il y a de la vie là-dessous ?
#espace #planetes #systemesolaire #astronomie #science #shorts</t>
  </si>
  <si>
    <t xml:space="preserve">Produis la vidéo C03 « Europe, la lune qui cache un océan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glass_crack, whoosh + musique « wonder » depuis la banque (-18 dB sous la voix, ducking). 6) Remotion : composition SpaceShort 1080×1920 30 fps, scènes calées sur les phrases, Ken Burns + parallaxe, sous-titres karaoké. 7) Contrôle qualité puis programmation BrightBean le J5 à 19:00 avec la légende fournie, label contenu IA activé.</t>
  </si>
  <si>
    <t xml:space="preserve">D03</t>
  </si>
  <si>
    <t xml:space="preserve">C'est quoi, un trou noir ?</t>
  </si>
  <si>
    <t xml:space="preserve">Un trou noir, ce n'est pas un trou. C'est une énorme quantité de matière concentrée dans un espace minuscule. Tellement dense que sa gravité empêche tout de s'échapper, même la lumière. La frontière de non-retour s'appelle l'horizon des événements. Beaucoup naissent de l'effondrement d'étoiles très massives. Comment les voir s'ils sont noirs ? Grâce à ce qui les entoure : la matière qui tourne autour chauffe à des millions de degrés et brille intensément. Le trou noir, lui, reste une ombre.</t>
  </si>
  <si>
    <t xml:space="preserve">Cinematic photorealistic space visualization, NASA/ESA documentary style, dramatic volumetric lighting, deep blacks, rich fine detail, vertical 9:16 composition, main subject in the upper two thirds, no text, no letters, no watermark, no logo. Scene: Black hole shadow with glowing accretion disk</t>
  </si>
  <si>
    <t xml:space="preserve">Cinematic photorealistic space visualization, NASA/ESA documentary style, dramatic volumetric lighting, deep blacks, rich fine detail, vertical 9:16 composition, main subject in the upper two thirds, no text, no letters, no watermark, no logo. Scene: Mass compressed into a tiny point, concept</t>
  </si>
  <si>
    <t xml:space="preserve">Cinematic photorealistic space visualization, NASA/ESA documentary style, dramatic volumetric lighting, deep blacks, rich fine detail, vertical 9:16 composition, main subject in the upper two thirds, no text, no letters, no watermark, no logo. Scene: Light rays bending and falling in</t>
  </si>
  <si>
    <t xml:space="preserve">Cinematic photorealistic space visualization, NASA/ESA documentary style, dramatic volumetric lighting, deep blacks, rich fine detail, vertical 9:16 composition, main subject in the upper two thirds, no text, no letters, no watermark, no logo. Scene: Event horizon boundary glowing faintly</t>
  </si>
  <si>
    <t xml:space="preserve">Cinematic photorealistic space visualization, NASA/ESA documentary style, dramatic volumetric lighting, deep blacks, rich fine detail, vertical 9:16 composition, main subject in the upper two thirds, no text, no letters, no watermark, no logo. Scene: Massive star collapsing</t>
  </si>
  <si>
    <t xml:space="preserve">Cinematic photorealistic space visualization, NASA/ESA documentary style, dramatic volumetric lighting, deep blacks, rich fine detail, vertical 9:16 composition, main subject in the upper two thirds, no text, no letters, no watermark, no logo. Scene: Hot swirling disk with lensing</t>
  </si>
  <si>
    <t xml:space="preserve">deep_boom, riser</t>
  </si>
  <si>
    <t xml:space="preserve">C'est quoi, un trou noir ? 🌌
Tu avais déjà compris ça ?
#espace #trounoir #etoiles #astrophysique #science #shorts</t>
  </si>
  <si>
    <t xml:space="preserve">Produis la vidéo D03 « C'est quoi, un trou noir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deep_boom, riser + musique « mystery » depuis la banque (-18 dB sous la voix, ducking). 6) Remotion : composition SpaceShort 1080×1920 30 fps, scènes calées sur les phrases, Ken Burns + parallaxe, sous-titres karaoké. 7) Contrôle qualité puis programmation BrightBean le J6 à 08:00 avec la légende fournie, label contenu IA activé.</t>
  </si>
  <si>
    <t xml:space="preserve">E03</t>
  </si>
  <si>
    <t xml:space="preserve">Gagarine, 108 minutes qui ont tout changé</t>
  </si>
  <si>
    <t xml:space="preserve">12 avril 1961. Youri Gagarine devient le premier humain dans l'espace. Son vol dure 108 minutes : un seul tour de la Terre. Au décollage, il lance un simple 'Poyekhali !', 'On y va !'. À l'époque, personne ne sait si un humain peut manger, avaler ou même garder ses esprits en apesanteur. Détail peu connu : il n'atterrit pas dans sa capsule. À 7 km d'altitude, il est éjecté et termine en parachute, dans un champ. Une paysanne et sa petite-fille sont les premières à l'accueillir.</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</si>
  <si>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Vostok rocket launching at dawn, 1961</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</si>
  <si>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Cosmonaut in orange spacesuit, vintage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</si>
  <si>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Earth seen through a small round capsule window</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</si>
  <si>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Clock showing 108 minutes, retro gauge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</si>
  <si>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Cosmonaut descending by parachute over fields</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</si>
  <si>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Farm field with a woman and child looking up</t>
  </si>
  <si>
    <t xml:space="preserve">launch, wind</t>
  </si>
  <si>
    <t xml:space="preserve">Gagarine, 108 minutes qui ont tout changé 🌌
108 minutes, et le monde a changé.
#espace #histoire #conquetespatiale #nasa #science #shorts</t>
  </si>
  <si>
    <t xml:space="preserve">Produis la vidéo E03 « Gagarine, 108 minutes qui ont tout changé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launch, wind + musique « retro » depuis la banque (-18 dB sous la voix, ducking). 6) Remotion : composition SpaceShort 1080×1920 30 fps, scènes calées sur les phrases, Ken Burns + parallaxe, sous-titres karaoké. 7) Contrôle qualité puis programmation BrightBean le J6 à 12:30 avec la légende fournie, label contenu IA activé.</t>
  </si>
  <si>
    <t xml:space="preserve">F03</t>
  </si>
  <si>
    <t xml:space="preserve">La Muraille de Chine visible de l'espace ? Faux</t>
  </si>
  <si>
    <t xml:space="preserve">On l'entend partout : la Grande Muraille de Chine serait visible de l'espace, voire de la Lune. Faux. Depuis la Lune, même les continents sont difficiles à distinguer en détail. Et depuis la Station spatiale, à 400 km, la muraille est très difficile à voir à l'œil nu. Elle est longue, mais étroite, et de la même couleur que le paysage autour. Plusieurs astronautes, dont le premier astronaute chinois Yang Liwei, ont confirmé qu'ils ne l'avaient pas vue. Par contre, les villes illuminées la nuit, ça, on les voit très bien.</t>
  </si>
  <si>
    <t xml:space="preserve">Cinematic photorealistic space visualization, NASA/ESA documentary style, dramatic volumetric lighting, deep blacks, rich fine detail, vertical 9:16 composition, main subject in the upper two thirds, no text, no letters, no watermark, no logo. Scene: Great Wall of China winding over mountains</t>
  </si>
  <si>
    <t xml:space="preserve">Cinematic photorealistic space visualization, NASA/ESA documentary style, dramatic volumetric lighting, deep blacks, rich fine detail, vertical 9:16 composition, main subject in the upper two thirds, no text, no letters, no watermark, no logo. Scene: Earth from the Moon, small and blue</t>
  </si>
  <si>
    <t xml:space="preserve">Cinematic photorealistic space visualization, NASA/ESA documentary style, dramatic volumetric lighting, deep blacks, rich fine detail, vertical 9:16 composition, main subject in the upper two thirds, no text, no letters, no watermark, no logo. Scene: Astronaut looking through the ISS cupola</t>
  </si>
  <si>
    <t xml:space="preserve">Cinematic photorealistic space visualization, NASA/ESA documentary style, dramatic volumetric lighting, deep blacks, rich fine detail, vertical 9:16 composition, main subject in the upper two thirds, no text, no letters, no watermark, no logo. Scene: Satellite-like view where a thin wall blends into terrain</t>
  </si>
  <si>
    <t xml:space="preserve">Cinematic photorealistic space visualization, NASA/ESA documentary style, dramatic volumetric lighting, deep blacks, rich fine detail, vertical 9:16 composition, main subject in the upper two thirds, no text, no letters, no watermark, no logo. Scene: Chinese astronaut in orbit, generic portrait</t>
  </si>
  <si>
    <t xml:space="preserve">Cinematic photorealistic space visualization, NASA/ESA documentary style, dramatic volumetric lighting, deep blacks, rich fine detail, vertical 9:16 composition, main subject in the upper two thirds, no text, no letters, no watermark, no logo. Scene: City lights at night seen from orbit</t>
  </si>
  <si>
    <t xml:space="preserve">whoosh</t>
  </si>
  <si>
    <t xml:space="preserve">La Muraille de Chine visible de l'espace ? Faux 🌌
Tu y croyais ?
#espace #idéesreçues #science #astronomie #lesavaistu #shorts</t>
  </si>
  <si>
    <t xml:space="preserve">Produis la vidéo F03 « La Muraille de Chine visible de l'espace ? Faux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 musique « calm » depuis la banque (-18 dB sous la voix, ducking). 6) Remotion : composition SpaceShort 1080×1920 30 fps, scènes calées sur les phrases, Ken Burns + parallaxe, sous-titres karaoké. 7) Contrôle qualité puis programmation BrightBean le J6 à 19:00 avec la légende fournie, label contenu IA activé.</t>
  </si>
  <si>
    <t xml:space="preserve">A04</t>
  </si>
  <si>
    <t xml:space="preserve">Et si le Soleil disparaissait ?</t>
  </si>
  <si>
    <t xml:space="preserve">Si le Soleil disparaissait maintenant, tu ne le saurais pas tout de suite. Pendant 8 minutes et 20 secondes, tout serait normal. C'est le temps que met sa lumière pour nous atteindre. Et même sa gravité voyage à la vitesse de la lumière. Puis, d'un coup : la nuit. La Terre partirait en ligne droite dans l'espace. En une semaine, la température moyenne passerait sous zéro. Les océans gèleraient en surface. Mais en profondeur, près des sources hydrothermales, certaines formes de vie pourraient survivre des millions d'années.</t>
  </si>
  <si>
    <t xml:space="preserve">Cinematic photorealistic space visualization, NASA/ESA documentary style, dramatic volumetric lighting, deep blacks, rich fine detail, vertical 9:16 composition, main subject in the upper two thirds, no text, no letters, no watermark, no logo. Scene: Sun shining over Earth, peaceful composition</t>
  </si>
  <si>
    <t xml:space="preserve">Cinematic photorealistic space visualization, NASA/ESA documentary style, dramatic volumetric lighting, deep blacks, rich fine detail, vertical 9:16 composition, main subject in the upper two thirds, no text, no letters, no watermark, no logo. Scene: Countdown feeling: light beam traveling from Sun to Earth</t>
  </si>
  <si>
    <t xml:space="preserve">Cinematic photorealistic space visualization, NASA/ESA documentary style, dramatic volumetric lighting, deep blacks, rich fine detail, vertical 9:16 composition, main subject in the upper two thirds, no text, no letters, no watermark, no logo. Scene: Sun vanishing leaving darkness, Earth suddenly dark</t>
  </si>
  <si>
    <t xml:space="preserve">Cinematic photorealistic space visualization, NASA/ESA documentary style, dramatic volumetric lighting, deep blacks, rich fine detail, vertical 9:16 composition, main subject in the upper two thirds, no text, no letters, no watermark, no logo. Scene: Earth drifting alone through black interstellar space</t>
  </si>
  <si>
    <t xml:space="preserve">Cinematic photorealistic space visualization, NASA/ESA documentary style, dramatic volumetric lighting, deep blacks, rich fine detail, vertical 9:16 composition, main subject in the upper two thirds, no text, no letters, no watermark, no logo. Scene: Frozen ocean surface under starlight</t>
  </si>
  <si>
    <t xml:space="preserve">Cinematic photorealistic space visualization, NASA/ESA documentary style, dramatic volumetric lighting, deep blacks, rich fine detail, vertical 9:16 composition, main subject in the upper two thirds, no text, no letters, no watermark, no logo. Scene: Deep sea hydrothermal vents glowing with life</t>
  </si>
  <si>
    <t xml:space="preserve">riser, deep_boom, wind</t>
  </si>
  <si>
    <t xml:space="preserve">Et si le Soleil disparaissait ? 🌌
Qu'est-ce que tu ferais pendant ces 8 minutes ?
#espace #etsi #science #univers #astronomie #shorts</t>
  </si>
  <si>
    <t xml:space="preserve">Produis la vidéo A04 « Et si le Soleil disparaissait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deep_boom, wind + musique « mystery » depuis la banque (-18 dB sous la voix, ducking). 6) Remotion : composition SpaceShort 1080×1920 30 fps, scènes calées sur les phrases, Ken Burns + parallaxe, sous-titres karaoké. 7) Contrôle qualité puis programmation BrightBean le J7 à 08:00 avec la légende fournie, label contenu IA activé.</t>
  </si>
  <si>
    <t xml:space="preserve">B04</t>
  </si>
  <si>
    <t xml:space="preserve">C'est quoi, une année-lumière ?</t>
  </si>
  <si>
    <t xml:space="preserve">Une année-lumière, ce n'est pas une durée. C'est une distance : celle que la lumière parcourt en un an. Environ 9 460 milliards de kilomètres. L'étoile la plus proche du Soleil, Proxima du Centaure, est à 4,24 années-lumière. Paraît proche ? La sonde Voyager 1 file à 17 km par seconde. À cette vitesse, il lui faudrait plus de 70 000 ans pour l'atteindre. Et notre galaxie mesure environ 100 000 années-lumière de diamètre. L'étoile la plus proche est déjà hors de portée.</t>
  </si>
  <si>
    <t xml:space="preserve">Cinematic photorealistic space visualization, NASA/ESA documentary style, dramatic volumetric lighting, deep blacks, rich fine detail, vertical 9:16 composition, main subject in the upper two thirds, no text, no letters, no watermark, no logo. Scene: Beam of light traveling across dark space</t>
  </si>
  <si>
    <t xml:space="preserve">Cinematic photorealistic space visualization, NASA/ESA documentary style, dramatic volumetric lighting, deep blacks, rich fine detail, vertical 9:16 composition, main subject in the upper two thirds, no text, no letters, no watermark, no logo. Scene: Distance ruler stretching from Sun to Proxima Centauri</t>
  </si>
  <si>
    <t xml:space="preserve">Cinematic photorealistic space visualization, NASA/ESA documentary style, dramatic volumetric lighting, deep blacks, rich fine detail, vertical 9:16 composition, main subject in the upper two thirds, no text, no letters, no watermark, no logo. Scene: Voyager 1 probe drifting in deep space</t>
  </si>
  <si>
    <t xml:space="preserve">Cinematic photorealistic space visualization, NASA/ESA documentary style, dramatic volumetric lighting, deep blacks, rich fine detail, vertical 9:16 composition, main subject in the upper two thirds, no text, no letters, no watermark, no logo. Scene: Hourglass with stars instead of sand</t>
  </si>
  <si>
    <t xml:space="preserve">Cinematic photorealistic space visualization, NASA/ESA documentary style, dramatic volumetric lighting, deep blacks, rich fine detail, vertical 9:16 composition, main subject in the upper two thirds, no text, no letters, no watermark, no logo. Scene: Milky Way galaxy face-on with scale bar</t>
  </si>
  <si>
    <t xml:space="preserve">Cinematic photorealistic space visualization, NASA/ESA documentary style, dramatic volumetric lighting, deep blacks, rich fine detail, vertical 9:16 composition, main subject in the upper two thirds, no text, no letters, no watermark, no logo. Scene: Tiny Sun dot inside the vast galaxy</t>
  </si>
  <si>
    <t xml:space="preserve">whoosh, beep</t>
  </si>
  <si>
    <t xml:space="preserve">C'est quoi, une année-lumière ? 🌌
Tu confondais aussi avec une durée ?
#espace #univers #astronomie #science #vertige #shorts</t>
  </si>
  <si>
    <t xml:space="preserve">Produis la vidéo B04 « C'est quoi, une année-lumière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beep + musique « wonder » depuis la banque (-18 dB sous la voix, ducking). 6) Remotion : composition SpaceShort 1080×1920 30 fps, scènes calées sur les phrases, Ken Burns + parallaxe, sous-titres karaoké. 7) Contrôle qualité puis programmation BrightBean le J7 à 12:30 avec la légende fournie, label contenu IA activé.</t>
  </si>
  <si>
    <t xml:space="preserve">C04</t>
  </si>
  <si>
    <t xml:space="preserve">Encelade crache de l'eau dans l'espace</t>
  </si>
  <si>
    <t xml:space="preserve">Encelade est une petite lune de Saturne, à peine 500 km de diamètre. Et elle crache de l'eau dans l'espace. Au pôle sud, des geysers projettent de la vapeur et des cristaux de glace à des centaines de kilomètres. La sonde Cassini a même traversé ces panaches pour les analyser. Dedans : de l'eau salée, des molécules organiques et, découverte annoncée en 2023, du phosphore. Un océan souterrain, de la chaleur, des ingrédients de la vie. Encelade est devenue une cible prioritaire.</t>
  </si>
  <si>
    <t xml:space="preserve">Cinematic photorealistic space visualization, NASA/ESA documentary style, dramatic volumetric lighting, deep blacks, rich fine detail, vertical 9:16 composition, main subject in the upper two thirds, no text, no letters, no watermark, no logo. Scene: Enceladus bright white moon with Saturn behind</t>
  </si>
  <si>
    <t xml:space="preserve">Cinematic photorealistic space visualization, NASA/ESA documentary style, dramatic volumetric lighting, deep blacks, rich fine detail, vertical 9:16 composition, main subject in the upper two thirds, no text, no letters, no watermark, no logo. Scene: Geysers erupting from Enceladus south pole</t>
  </si>
  <si>
    <t xml:space="preserve">Cinematic photorealistic space visualization, NASA/ESA documentary style, dramatic volumetric lighting, deep blacks, rich fine detail, vertical 9:16 composition, main subject in the upper two thirds, no text, no letters, no watermark, no logo. Scene: Plumes lit by sunlight reaching into space</t>
  </si>
  <si>
    <t xml:space="preserve">Cinematic photorealistic space visualization, NASA/ESA documentary style, dramatic volumetric lighting, deep blacks, rich fine detail, vertical 9:16 composition, main subject in the upper two thirds, no text, no letters, no watermark, no logo. Scene: Cassini spacecraft flying through the plumes</t>
  </si>
  <si>
    <t xml:space="preserve">Cinematic photorealistic space visualization, NASA/ESA documentary style, dramatic volumetric lighting, deep blacks, rich fine detail, vertical 9:16 composition, main subject in the upper two thirds, no text, no letters, no watermark, no logo. Scene: Microscopic ice crystals with glowing molecules</t>
  </si>
  <si>
    <t xml:space="preserve">Cinematic photorealistic space visualization, NASA/ESA documentary style, dramatic volumetric lighting, deep blacks, rich fine detail, vertical 9:16 composition, main subject in the upper two thirds, no text, no letters, no watermark, no logo. Scene: Subsurface ocean cross-section of Enceladus</t>
  </si>
  <si>
    <t xml:space="preserve">whoosh, wind</t>
  </si>
  <si>
    <t xml:space="preserve">Encelade crache de l'eau dans l'espace 🌌
Une lune qui crache de l'eau, t'en avais entendu parler ?
#espace #planetes #systemesolaire #astronomie #science #shorts</t>
  </si>
  <si>
    <t xml:space="preserve">Produis la vidéo C04 « Encelade crache de l'eau dans l'espace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wind + musique « wonder » depuis la banque (-18 dB sous la voix, ducking). 6) Remotion : composition SpaceShort 1080×1920 30 fps, scènes calées sur les phrases, Ken Burns + parallaxe, sous-titres karaoké. 7) Contrôle qualité puis programmation BrightBean le J7 à 19:00 avec la légende fournie, label contenu IA activé.</t>
  </si>
  <si>
    <t xml:space="preserve">D04</t>
  </si>
  <si>
    <t xml:space="preserve">La première photo d'un trou noir</t>
  </si>
  <si>
    <t xml:space="preserve">Le 10 avril 2019, le monde découvre la première image d'un trou noir. Un anneau orange autour d'une ombre. Pour l'obtenir, huit radiotélescopes répartis sur la planète ont observé ensemble. Ils ont formé un télescope virtuel de la taille de la Terre : l'Event Horizon Telescope. Il a fallu des pétaoctets de données, transportés physiquement sur des disques durs. En 2022, rebelote : l'équipe dévoile Sagittarius A*, le trou noir au centre de notre propre galaxie.</t>
  </si>
  <si>
    <t xml:space="preserve">Cinematic photorealistic space visualization, NASA/ESA documentary style, dramatic volumetric lighting, deep blacks, rich fine detail, vertical 9:16 composition, main subject in the upper two thirds, no text, no letters, no watermark, no logo. Scene: Blurry orange ring black hole image style</t>
  </si>
  <si>
    <t xml:space="preserve">Cinematic photorealistic space visualization, NASA/ESA documentary style, dramatic volumetric lighting, deep blacks, rich fine detail, vertical 9:16 composition, main subject in the upper two thirds, no text, no letters, no watermark, no logo. Scene: Radio telescope dishes under a starry sky</t>
  </si>
  <si>
    <t xml:space="preserve">Cinematic photorealistic space visualization, NASA/ESA documentary style, dramatic volumetric lighting, deep blacks, rich fine detail, vertical 9:16 composition, main subject in the upper two thirds, no text, no letters, no watermark, no logo. Scene: Earth with telescopes linked by glowing lines</t>
  </si>
  <si>
    <t xml:space="preserve">Cinematic photorealistic space visualization, NASA/ESA documentary style, dramatic volumetric lighting, deep blacks, rich fine detail, vertical 9:16 composition, main subject in the upper two thirds, no text, no letters, no watermark, no logo. Scene: Stacks of hard drives being shipped</t>
  </si>
  <si>
    <t xml:space="preserve">Cinematic photorealistic space visualization, NASA/ESA documentary style, dramatic volumetric lighting, deep blacks, rich fine detail, vertical 9:16 composition, main subject in the upper two thirds, no text, no letters, no watermark, no logo. Scene: Milky Way center with Sagittarius A* ring</t>
  </si>
  <si>
    <t xml:space="preserve">Cinematic photorealistic space visualization, NASA/ESA documentary style, dramatic volumetric lighting, deep blacks, rich fine detail, vertical 9:16 composition, main subject in the upper two thirds, no text, no letters, no watermark, no logo. Scene: Team celebrating in a control room</t>
  </si>
  <si>
    <t xml:space="preserve">beep, riser</t>
  </si>
  <si>
    <t xml:space="preserve">La première photo d'un trou noir 🌌
Tu te souviens de cette image ?
#espace #trounoir #etoiles #astrophysique #science #shorts</t>
  </si>
  <si>
    <t xml:space="preserve">Produis la vidéo D04 « La première photo d'un trou noir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beep, riser + musique « epic » depuis la banque (-18 dB sous la voix, ducking). 6) Remotion : composition SpaceShort 1080×1920 30 fps, scènes calées sur les phrases, Ken Burns + parallaxe, sous-titres karaoké. 7) Contrôle qualité puis programmation BrightBean le J8 à 08:00 avec la légende fournie, label contenu IA activé.</t>
  </si>
  <si>
    <t xml:space="preserve">E04</t>
  </si>
  <si>
    <t xml:space="preserve">Apollo 11 : l'alarme qui a failli tout annuler</t>
  </si>
  <si>
    <t xml:space="preserve">20 juillet 1969. Le module lunaire descend vers la Lune. Soudain, une alarme : 1202. L'ordinateur de bord est surchargé. Personne dans le module ne connaît ce code. À Houston, un jeune ingénieur confirme en quelques secondes : on peut continuer. Puis Armstrong découvre que la zone prévue est couverte de rochers. Il prend les commandes, survole, cherche un autre endroit. Il se pose avec environ 25 secondes de carburant avant l'abandon obligatoire. Quelques heures plus tard, le premier pas.</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</si>
  <si>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Lunar module descending over grey lunar surface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</si>
  <si>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Retro computer display with a blinking alarm</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</si>
  <si>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Mission control room in 1969, tense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</si>
  <si>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Boulder field on the Moon seen from above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</si>
  <si>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Lunar module landing with dust spraying</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</si>
  <si>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Astronaut boot print on lunar soil</t>
  </si>
  <si>
    <t xml:space="preserve">beep, heartbeat, rumble</t>
  </si>
  <si>
    <t xml:space="preserve">Apollo 11 : l'alarme qui a failli tout annuler 🌌
Tu connaissais cette histoire d'alarme ?
#espace #histoire #conquetespatiale #nasa #science #shorts</t>
  </si>
  <si>
    <t xml:space="preserve">Produis la vidéo E04 « Apollo 11 : l'alarme qui a failli tout annuler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beep, heartbeat, rumble + musique « tension » depuis la banque (-18 dB sous la voix, ducking). 6) Remotion : composition SpaceShort 1080×1920 30 fps, scènes calées sur les phrases, Ken Burns + parallaxe, sous-titres karaoké. 7) Contrôle qualité puis programmation BrightBean le J8 à 12:30 avec la légende fournie, label contenu IA activé.</t>
  </si>
  <si>
    <t xml:space="preserve">F04</t>
  </si>
  <si>
    <t xml:space="preserve">Les saisons ne viennent pas de la distance au Soleil</t>
  </si>
  <si>
    <t xml:space="preserve">L'été, on serait plus proche du Soleil ? Faux. La Terre est au plus près du Soleil début janvier. En plein hiver, pour nous. Les saisons viennent de l'inclinaison de la Terre, environ 23,4 degrés. En juin, l'hémisphère nord penche vers le Soleil : les rayons arrivent plus verticalement, les journées sont plus longues. Il fait chaud. En décembre, c'est l'inverse. D'ailleurs, quand c'est l'été en France, c'est l'hiver en Australie. Si c'était une question de distance, ce serait la même saison partout.</t>
  </si>
  <si>
    <t xml:space="preserve">Cinematic photorealistic space visualization, NASA/ESA documentary style, dramatic volumetric lighting, deep blacks, rich fine detail, vertical 9:16 composition, main subject in the upper two thirds, no text, no letters, no watermark, no logo. Scene: Earth orbit around the Sun with seasons</t>
  </si>
  <si>
    <t xml:space="preserve">Cinematic photorealistic space visualization, NASA/ESA documentary style, dramatic volumetric lighting, deep blacks, rich fine detail, vertical 9:16 composition, main subject in the upper two thirds, no text, no letters, no watermark, no logo. Scene: Calendar January with Earth closest to Sun</t>
  </si>
  <si>
    <t xml:space="preserve">Cinematic photorealistic space visualization, NASA/ESA documentary style, dramatic volumetric lighting, deep blacks, rich fine detail, vertical 9:16 composition, main subject in the upper two thirds, no text, no letters, no watermark, no logo. Scene: Tilted Earth with sunlight angles</t>
  </si>
  <si>
    <t xml:space="preserve">Cinematic photorealistic space visualization, NASA/ESA documentary style, dramatic volumetric lighting, deep blacks, rich fine detail, vertical 9:16 composition, main subject in the upper two thirds, no text, no letters, no watermark, no logo. Scene: Summer field in France</t>
  </si>
  <si>
    <t xml:space="preserve">Cinematic photorealistic space visualization, NASA/ESA documentary style, dramatic volumetric lighting, deep blacks, rich fine detail, vertical 9:16 composition, main subject in the upper two thirds, no text, no letters, no watermark, no logo. Scene: Winter scene in Australia in July</t>
  </si>
  <si>
    <t xml:space="preserve">Cinematic photorealistic space visualization, NASA/ESA documentary style, dramatic volumetric lighting, deep blacks, rich fine detail, vertical 9:16 composition, main subject in the upper two thirds, no text, no letters, no watermark, no logo. Scene: Split globe: summer north, winter south</t>
  </si>
  <si>
    <t xml:space="preserve">Les saisons ne viennent pas de la distance au Soleil 🌌
Tu pensais que c'était la distance ?
#espace #idéesreçues #science #astronomie #lesavaistu #shorts</t>
  </si>
  <si>
    <t xml:space="preserve">Produis la vidéo F04 « Les saisons ne viennent pas de la distance au Soleil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calm » depuis la banque (-18 dB sous la voix, ducking). 6) Remotion : composition SpaceShort 1080×1920 30 fps, scènes calées sur les phrases, Ken Burns + parallaxe, sous-titres karaoké. 7) Contrôle qualité puis programmation BrightBean le J8 à 19:00 avec la légende fournie, label contenu IA activé.</t>
  </si>
  <si>
    <t xml:space="preserve">A05</t>
  </si>
  <si>
    <t xml:space="preserve">Et si Jupiter était une étoile ?</t>
  </si>
  <si>
    <t xml:space="preserve">Jupiter est parfois appelée l'étoile ratée. C'est faux, et voilà pourquoi. Pour allumer la fusion nucléaire dans son cœur, il faudrait qu'elle soit environ 80 fois plus massive. Mais admettons. Jupiter devient une petite étoile, une naine rouge. Notre ciel aurait deux soleils : un éclatant, et un point rouge très brillant. La nuit ne serait plus vraiment noire quand Jupiter est visible. Et le Système solaire deviendrait un système double, comme la majorité des étoiles de notre galaxie.</t>
  </si>
  <si>
    <t xml:space="preserve">Cinematic photorealistic space visualization, NASA/ESA documentary style, dramatic volumetric lighting, deep blacks, rich fine detail, vertical 9:16 composition, main subject in the upper two thirds, no text, no letters, no watermark, no logo. Scene: Jupiter with its bands and Great Red Spot, majestic</t>
  </si>
  <si>
    <t xml:space="preserve">Cinematic photorealistic space visualization, NASA/ESA documentary style, dramatic volumetric lighting, deep blacks, rich fine detail, vertical 9:16 composition, main subject in the upper two thirds, no text, no letters, no watermark, no logo. Scene: Jupiter compressing and igniting into a red dwarf star</t>
  </si>
  <si>
    <t xml:space="preserve">Cinematic photorealistic space visualization, NASA/ESA documentary style, dramatic volumetric lighting, deep blacks, rich fine detail, vertical 9:16 composition, main subject in the upper two thirds, no text, no letters, no watermark, no logo. Scene: Earth sky with a bright sun and a red second star</t>
  </si>
  <si>
    <t xml:space="preserve">Cinematic photorealistic space visualization, NASA/ESA documentary style, dramatic volumetric lighting, deep blacks, rich fine detail, vertical 9:16 composition, main subject in the upper two thirds, no text, no letters, no watermark, no logo. Scene: Night landscape bathed in dim red light</t>
  </si>
  <si>
    <t xml:space="preserve">Cinematic photorealistic space visualization, NASA/ESA documentary style, dramatic volumetric lighting, deep blacks, rich fine detail, vertical 9:16 composition, main subject in the upper two thirds, no text, no letters, no watermark, no logo. Scene: Binary star system seen from afar</t>
  </si>
  <si>
    <t xml:space="preserve">Cinematic photorealistic space visualization, NASA/ESA documentary style, dramatic volumetric lighting, deep blacks, rich fine detail, vertical 9:16 composition, main subject in the upper two thirds, no text, no letters, no watermark, no logo. Scene: Milky Way full of binary star pairs</t>
  </si>
  <si>
    <t xml:space="preserve">Et si Jupiter était une étoile ? 🌌
Deux soleils dans le ciel, tu signes ?
#espace #etsi #science #univers #astronomie #shorts</t>
  </si>
  <si>
    <t xml:space="preserve">Produis la vidéo A05 « Et si Jupiter était une étoile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deep_boom + musique « wonder » depuis la banque (-18 dB sous la voix, ducking). 6) Remotion : composition SpaceShort 1080×1920 30 fps, scènes calées sur les phrases, Ken Burns + parallaxe, sous-titres karaoké. 7) Contrôle qualité puis programmation BrightBean le J9 à 08:00 avec la légende fournie, label contenu IA activé.</t>
  </si>
  <si>
    <t xml:space="preserve">B05</t>
  </si>
  <si>
    <t xml:space="preserve">La Voie lactée en chiffres</t>
  </si>
  <si>
    <t xml:space="preserve">Notre galaxie, la Voie lactée, mesure environ 100 000 années-lumière de diamètre. Elle contient entre 100 et 400 milliards d'étoiles. Le Soleil se trouve dans un bras secondaire, à 26 000 années-lumière du centre. Et on tourne autour de ce centre à environ 230 kilomètres par seconde. Pourtant, un seul tour prend 230 millions d'années. La dernière fois qu'on était à cet endroit de l'orbite, les premiers dinosaures apparaissaient. Et il existe des centaines de milliards d'autres galaxies.</t>
  </si>
  <si>
    <t xml:space="preserve">Cinematic photorealistic space visualization, NASA/ESA documentary style, dramatic volumetric lighting, deep blacks, rich fine detail, vertical 9:16 composition, main subject in the upper two thirds, no text, no letters, no watermark, no logo. Scene: Milky Way spiral galaxy face-on</t>
  </si>
  <si>
    <t xml:space="preserve">Cinematic photorealistic space visualization, NASA/ESA documentary style, dramatic volumetric lighting, deep blacks, rich fine detail, vertical 9:16 composition, main subject in the upper two thirds, no text, no letters, no watermark, no logo. Scene: Zoom to a star field with billions of points</t>
  </si>
  <si>
    <t xml:space="preserve">Cinematic photorealistic space visualization, NASA/ESA documentary style, dramatic volumetric lighting, deep blacks, rich fine detail, vertical 9:16 composition, main subject in the upper two thirds, no text, no letters, no watermark, no logo. Scene: Sun marked in the Orion Arm</t>
  </si>
  <si>
    <t xml:space="preserve">Cinematic photorealistic space visualization, NASA/ESA documentary style, dramatic volumetric lighting, deep blacks, rich fine detail, vertical 9:16 composition, main subject in the upper two thirds, no text, no letters, no watermark, no logo. Scene: Motion arrows around the galactic center</t>
  </si>
  <si>
    <t xml:space="preserve">Cinematic photorealistic space visualization, NASA/ESA documentary style, dramatic volumetric lighting, deep blacks, rich fine detail, vertical 9:16 composition, main subject in the upper two thirds, no text, no letters, no watermark, no logo. Scene: Early dinosaurs under a Triassic night sky</t>
  </si>
  <si>
    <t xml:space="preserve">Cinematic photorealistic space visualization, NASA/ESA documentary style, dramatic volumetric lighting, deep blacks, rich fine detail, vertical 9:16 composition, main subject in the upper two thirds, no text, no letters, no watermark, no logo. Scene: Deep field full of distant galaxies</t>
  </si>
  <si>
    <t xml:space="preserve">La Voie lactée en chiffres 🌌
Un tour de galaxie = 230 millions d'années. Fou, non ?
#espace #univers #astronomie #science #vertige #shorts</t>
  </si>
  <si>
    <t xml:space="preserve">Produis la vidéo B05 « La Voie lactée en chiffres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riser + musique « epic » depuis la banque (-18 dB sous la voix, ducking). 6) Remotion : composition SpaceShort 1080×1920 30 fps, scènes calées sur les phrases, Ken Burns + parallaxe, sous-titres karaoké. 7) Contrôle qualité puis programmation BrightBean le J9 à 12:30 avec la légende fournie, label contenu IA activé.</t>
  </si>
  <si>
    <t xml:space="preserve">C05</t>
  </si>
  <si>
    <t xml:space="preserve">Titan, le monde où tu pourrais voler</t>
  </si>
  <si>
    <t xml:space="preserve">Titan, la plus grande lune de Saturne, a quelque chose d'unique : une atmosphère épaisse, plus dense que la nôtre. Avec une gravité faible, un humain équipé d'ailes pourrait littéralement voler en battant des bras. Mais il fait environ moins 180 degrés. Il y pleut du méthane, qui forme des rivières et des lacs. C'est le seul endroit connu, hors de la Terre, avec des liquides stables en surface. La NASA y enverra Dragonfly, un drone volant, dont l'arrivée est prévue au milieu des années 2030.</t>
  </si>
  <si>
    <t xml:space="preserve">Cinematic photorealistic space visualization, NASA/ESA documentary style, dramatic volumetric lighting, deep blacks, rich fine detail, vertical 9:16 composition, main subject in the upper two thirds, no text, no letters, no watermark, no logo. Scene: Titan orange hazy moon in front of Saturn</t>
  </si>
  <si>
    <t xml:space="preserve">Cinematic photorealistic space visualization, NASA/ESA documentary style, dramatic volumetric lighting, deep blacks, rich fine detail, vertical 9:16 composition, main subject in the upper two thirds, no text, no letters, no watermark, no logo. Scene: Human with strapped-on wings flying over Titan dunes</t>
  </si>
  <si>
    <t xml:space="preserve">Cinematic photorealistic space visualization, NASA/ESA documentary style, dramatic volumetric lighting, deep blacks, rich fine detail, vertical 9:16 composition, main subject in the upper two thirds, no text, no letters, no watermark, no logo. Scene: Frozen methane rain falling on orange landscape</t>
  </si>
  <si>
    <t xml:space="preserve">Cinematic photorealistic space visualization, NASA/ESA documentary style, dramatic volumetric lighting, deep blacks, rich fine detail, vertical 9:16 composition, main subject in the upper two thirds, no text, no letters, no watermark, no logo. Scene: Methane lakes shining on Titan's surface</t>
  </si>
  <si>
    <t xml:space="preserve">Cinematic photorealistic space visualization, NASA/ESA documentary style, dramatic volumetric lighting, deep blacks, rich fine detail, vertical 9:16 composition, main subject in the upper two thirds, no text, no letters, no watermark, no logo. Scene: Dragonfly rotorcraft drone flying over Titan</t>
  </si>
  <si>
    <t xml:space="preserve">Cinematic photorealistic space visualization, NASA/ESA documentary style, dramatic volumetric lighting, deep blacks, rich fine detail, vertical 9:16 composition, main subject in the upper two thirds, no text, no letters, no watermark, no logo. Scene: Saturn faintly visible through Titan haze</t>
  </si>
  <si>
    <t xml:space="preserve">wind, whoosh</t>
  </si>
  <si>
    <t xml:space="preserve">Titan, le monde où tu pourrais voler 🌌
Voler en battant des bras, tu testes ?
#espace #planetes #systemesolaire #astronomie #science #shorts</t>
  </si>
  <si>
    <t xml:space="preserve">Produis la vidéo C05 « Titan, le monde où tu pourrais voler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wind, whoosh + musique « wonder » depuis la banque (-18 dB sous la voix, ducking). 6) Remotion : composition SpaceShort 1080×1920 30 fps, scènes calées sur les phrases, Ken Burns + parallaxe, sous-titres karaoké. 7) Contrôle qualité puis programmation BrightBean le J9 à 19:00 avec la légende fournie, label contenu IA activé.</t>
  </si>
  <si>
    <t xml:space="preserve">D05</t>
  </si>
  <si>
    <t xml:space="preserve">Les pulsars, phares de l'univers</t>
  </si>
  <si>
    <t xml:space="preserve">En 1967, l'astrophysicienne Jocelyn Bell détecte un signal radio étrange, qui revient toutes les 1,3 secondes. Réglé comme une horloge. L'équipe l'a surnommé LGM-1, pour 'petits hommes verts'. En réalité, c'était un pulsar : une étoile à neutrons qui tourne sur elle-même et balaie l'espace avec un faisceau, comme un phare. Certains tournent plus de 700 fois par seconde. Leur régularité est si parfaite qu'on les utilise aujourd'hui pour étudier les ondes gravitationnelles.</t>
  </si>
  <si>
    <t xml:space="preserve">Cinematic photorealistic space visualization, NASA/ESA documentary style, dramatic volumetric lighting, deep blacks, rich fine detail, vertical 9:16 composition, main subject in the upper two thirds, no text, no letters, no watermark, no logo. Scene: Radio telescope field in 1967, retro feel</t>
  </si>
  <si>
    <t xml:space="preserve">Cinematic photorealistic space visualization, NASA/ESA documentary style, dramatic volumetric lighting, deep blacks, rich fine detail, vertical 9:16 composition, main subject in the upper two thirds, no text, no letters, no watermark, no logo. Scene: Paper chart with regular pulse spikes</t>
  </si>
  <si>
    <t xml:space="preserve">Cinematic photorealistic space visualization, NASA/ESA documentary style, dramatic volumetric lighting, deep blacks, rich fine detail, vertical 9:16 composition, main subject in the upper two thirds, no text, no letters, no watermark, no logo. Scene: Little green men joke drawn on a lab notebook</t>
  </si>
  <si>
    <t xml:space="preserve">Cinematic photorealistic space visualization, NASA/ESA documentary style, dramatic volumetric lighting, deep blacks, rich fine detail, vertical 9:16 composition, main subject in the upper two thirds, no text, no letters, no watermark, no logo. Scene: Pulsar spinning with lighthouse beams</t>
  </si>
  <si>
    <t xml:space="preserve">Cinematic photorealistic space visualization, NASA/ESA documentary style, dramatic volumetric lighting, deep blacks, rich fine detail, vertical 9:16 composition, main subject in the upper two thirds, no text, no letters, no watermark, no logo. Scene: Ultra-fast spinning neutron star blur</t>
  </si>
  <si>
    <t xml:space="preserve">Cinematic photorealistic space visualization, NASA/ESA documentary style, dramatic volumetric lighting, deep blacks, rich fine detail, vertical 9:16 composition, main subject in the upper two thirds, no text, no letters, no watermark, no logo. Scene: Galaxy dotted with pulsars</t>
  </si>
  <si>
    <t xml:space="preserve">beep, static</t>
  </si>
  <si>
    <t xml:space="preserve">Les pulsars, phares de l'univers 🌌
Tu y aurais cru, aux petits hommes verts ?
#espace #trounoir #etoiles #astrophysique #science #shorts</t>
  </si>
  <si>
    <t xml:space="preserve">Produis la vidéo D05 « Les pulsars, phares de l'univers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beep, static + musique « retro » depuis la banque (-18 dB sous la voix, ducking). 6) Remotion : composition SpaceShort 1080×1920 30 fps, scènes calées sur les phrases, Ken Burns + parallaxe, sous-titres karaoké. 7) Contrôle qualité puis programmation BrightBean le J10 à 08:00 avec la légende fournie, label contenu IA activé.</t>
  </si>
  <si>
    <t xml:space="preserve">E05</t>
  </si>
  <si>
    <t xml:space="preserve">Apollo 13, le sauvetage impossible</t>
  </si>
  <si>
    <t xml:space="preserve">Avril 1970. Apollo 13 est en route vers la Lune quand un réservoir d'oxygène explose. La mission devient une course pour survivre. Les trois astronautes se réfugient dans le module lunaire, prévu pour deux personnes pendant deux jours. Problème : le dioxyde de carbone monte. Les filtres du vaisseau sont carrés, ceux du module ronds. Au sol, les ingénieurs bricolent une solution avec du carton, des sacs plastiques et du scotch. Ça marche. Après quatre jours d'angoisse, l'équipage rentre sain et sauf.</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</si>
  <si>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Apollo spacecraft with venting oxygen cloud</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</si>
  <si>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Three astronauts huddled in a cramped cold module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</si>
  <si>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Square filter next to a round opening, puzzle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</si>
  <si>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Engineers at a table with cardboard, tape and hoses</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</si>
  <si>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Makeshift filter contraption glowing, heroic</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</si>
  <si>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Capsule splashdown with parachutes in ocean</t>
  </si>
  <si>
    <t xml:space="preserve">deep_boom, beep, heartbeat</t>
  </si>
  <si>
    <t xml:space="preserve">Apollo 13, le sauvetage impossible 🌌
Du scotch pour sauver 3 vies. Incroyable, non ?
#espace #histoire #conquetespatiale #nasa #science #shorts</t>
  </si>
  <si>
    <t xml:space="preserve">Produis la vidéo E05 « Apollo 13, le sauvetage impossible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deep_boom, beep, heartbeat + musique « tension » depuis la banque (-18 dB sous la voix, ducking). 6) Remotion : composition SpaceShort 1080×1920 30 fps, scènes calées sur les phrases, Ken Burns + parallaxe, sous-titres karaoké. 7) Contrôle qualité puis programmation BrightBean le J10 à 12:30 avec la légende fournie, label contenu IA activé.</t>
  </si>
  <si>
    <t xml:space="preserve">F05</t>
  </si>
  <si>
    <t xml:space="preserve">Le Soleil n'est pas jaune</t>
  </si>
  <si>
    <t xml:space="preserve">Le Soleil est jaune ? Pas vraiment. Vu de l'espace, il est blanc. Il émet de la lumière dans toutes les couleurs, avec un maximum dans le bleu-vert, mais notre œil perçoit ce mélange comme du blanc. Alors pourquoi on le voit jaune ? À cause de l'atmosphère. Elle disperse davantage le bleu, ce qui rend le ciel bleu et le Soleil un peu plus chaud en couleur. Au coucher, la lumière traverse encore plus d'air : il devient orange, puis rouge. Les photos des astronautes montrent un Soleil blanc éclatant.</t>
  </si>
  <si>
    <t xml:space="preserve">Cinematic photorealistic space visualization, NASA/ESA documentary style, dramatic volumetric lighting, deep blacks, rich fine detail, vertical 9:16 composition, main subject in the upper two thirds, no text, no letters, no watermark, no logo. Scene: White Sun seen from space</t>
  </si>
  <si>
    <t xml:space="preserve">Cinematic photorealistic space visualization, NASA/ESA documentary style, dramatic volumetric lighting, deep blacks, rich fine detail, vertical 9:16 composition, main subject in the upper two thirds, no text, no letters, no watermark, no logo. Scene: Light spectrum rainbow from sunlight</t>
  </si>
  <si>
    <t xml:space="preserve">Cinematic photorealistic space visualization, NASA/ESA documentary style, dramatic volumetric lighting, deep blacks, rich fine detail, vertical 9:16 composition, main subject in the upper two thirds, no text, no letters, no watermark, no logo. Scene: Blue sky with light scattering particles</t>
  </si>
  <si>
    <t xml:space="preserve">Cinematic photorealistic space visualization, NASA/ESA documentary style, dramatic volumetric lighting, deep blacks, rich fine detail, vertical 9:16 composition, main subject in the upper two thirds, no text, no letters, no watermark, no logo. Scene: Yellow sun at midday from the ground</t>
  </si>
  <si>
    <t xml:space="preserve">Cinematic photorealistic space visualization, NASA/ESA documentary style, dramatic volumetric lighting, deep blacks, rich fine detail, vertical 9:16 composition, main subject in the upper two thirds, no text, no letters, no watermark, no logo. Scene: Orange-red sunset over the sea</t>
  </si>
  <si>
    <t xml:space="preserve">Cinematic photorealistic space visualization, NASA/ESA documentary style, dramatic volumetric lighting, deep blacks, rich fine detail, vertical 9:16 composition, main subject in the upper two thirds, no text, no letters, no watermark, no logo. Scene: Astronaut visor reflecting a white Sun</t>
  </si>
  <si>
    <t xml:space="preserve">chime</t>
  </si>
  <si>
    <t xml:space="preserve">Le Soleil n'est pas jaune 🌌
Tu l'aurais dessiné en jaune, avoue.
#espace #idéesreçues #science #astronomie #lesavaistu #shorts</t>
  </si>
  <si>
    <t xml:space="preserve">Produis la vidéo F05 « Le Soleil n'est pas jaune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 musique « calm » depuis la banque (-18 dB sous la voix, ducking). 6) Remotion : composition SpaceShort 1080×1920 30 fps, scènes calées sur les phrases, Ken Burns + parallaxe, sous-titres karaoké. 7) Contrôle qualité puis programmation BrightBean le J10 à 19:00 avec la légende fournie, label contenu IA activé.</t>
  </si>
  <si>
    <t xml:space="preserve">A06</t>
  </si>
  <si>
    <t xml:space="preserve">Et si tu vivais sur Mars ?</t>
  </si>
  <si>
    <t xml:space="preserve">Première journée sur Mars. Tu pèses 62 % de moins. Tu sautes presque trois fois plus haut. Sympa. Ta journée dure 24 heures et 39 minutes : tu gagnes 39 minutes chaque jour. Mais dehors, la pression est inférieure à 1 % de celle de la Terre. Sans combinaison, ton sang se mettrait à bouillir à température corporelle. Il fait en moyenne moins 60 degrés. Et le ciel ? Il est ocre en journée, mais les couchers de soleil sont bleus. Tu ferais le voyage, même sans billet retour ?</t>
  </si>
  <si>
    <t xml:space="preserve">Cinematic photorealistic space visualization, NASA/ESA documentary style, dramatic volumetric lighting, deep blacks, rich fine detail, vertical 9:16 composition, main subject in the upper two thirds, no text, no letters, no watermark, no logo. Scene: Astronaut standing on red Martian dunes</t>
  </si>
  <si>
    <t xml:space="preserve">Cinematic photorealistic space visualization, NASA/ESA documentary style, dramatic volumetric lighting, deep blacks, rich fine detail, vertical 9:16 composition, main subject in the upper two thirds, no text, no letters, no watermark, no logo. Scene: Astronaut jumping high in low gravity on Mars</t>
  </si>
  <si>
    <t xml:space="preserve">Cinematic photorealistic space visualization, NASA/ESA documentary style, dramatic volumetric lighting, deep blacks, rich fine detail, vertical 9:16 composition, main subject in the upper two thirds, no text, no letters, no watermark, no logo. Scene: Clock over a Martian landscape, sol concept</t>
  </si>
  <si>
    <t xml:space="preserve">Cinematic photorealistic space visualization, NASA/ESA documentary style, dramatic volumetric lighting, deep blacks, rich fine detail, vertical 9:16 composition, main subject in the upper two thirds, no text, no letters, no watermark, no logo. Scene: Martian habitat dome in a frozen dusty plain</t>
  </si>
  <si>
    <t xml:space="preserve">Cinematic photorealistic space visualization, NASA/ESA documentary style, dramatic volumetric lighting, deep blacks, rich fine detail, vertical 9:16 composition, main subject in the upper two thirds, no text, no letters, no watermark, no logo. Scene: Butterscotch Martian sky at midday</t>
  </si>
  <si>
    <t xml:space="preserve">Cinematic photorealistic space visualization, NASA/ESA documentary style, dramatic volumetric lighting, deep blacks, rich fine detail, vertical 9:16 composition, main subject in the upper two thirds, no text, no letters, no watermark, no logo. Scene: Blue sunset on Mars over a crater rim</t>
  </si>
  <si>
    <t xml:space="preserve">Et si tu vivais sur Mars ? 🌌
Aller simple pour Mars : oui ou non ?
#espace #etsi #science #univers #astronomie #shorts</t>
  </si>
  <si>
    <t xml:space="preserve">Produis la vidéo A06 « Et si tu vivais sur Mars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wind, whoosh + musique « wonder » depuis la banque (-18 dB sous la voix, ducking). 6) Remotion : composition SpaceShort 1080×1920 30 fps, scènes calées sur les phrases, Ken Burns + parallaxe, sous-titres karaoké. 7) Contrôle qualité puis programmation BrightBean le J11 à 08:00 avec la légende fournie, label contenu IA activé.</t>
  </si>
  <si>
    <t xml:space="preserve">B06</t>
  </si>
  <si>
    <t xml:space="preserve">L'univers observable est plus grand que son âge</t>
  </si>
  <si>
    <t xml:space="preserve">L'univers a 13,8 milliards d'années. Donc on voit à 13,8 milliards d'années-lumière maximum ? Non. L'univers observable fait environ 93 milliards d'années-lumière de diamètre. Pourquoi ? Parce que l'espace lui-même s'étire. La lumière des galaxies les plus lointaines est partie il y a très longtemps. Pendant son trajet, ces galaxies se sont éloignées encore. Aujourd'hui, le bord de ce qu'on peut observer se trouve à environ 46 milliards d'années-lumière. Et au-delà ? Il y a sûrement encore de l'univers. On ne le verra jamais.</t>
  </si>
  <si>
    <t xml:space="preserve">Cinematic photorealistic space visualization, NASA/ESA documentary style, dramatic volumetric lighting, deep blacks, rich fine detail, vertical 9:16 composition, main subject in the upper two thirds, no text, no letters, no watermark, no logo. Scene: Sphere of the observable universe with cosmic web</t>
  </si>
  <si>
    <t xml:space="preserve">Cinematic photorealistic space visualization, NASA/ESA documentary style, dramatic volumetric lighting, deep blacks, rich fine detail, vertical 9:16 composition, main subject in the upper two thirds, no text, no letters, no watermark, no logo. Scene: Big Bang flash expanding outward</t>
  </si>
  <si>
    <t xml:space="preserve">Cinematic photorealistic space visualization, NASA/ESA documentary style, dramatic volumetric lighting, deep blacks, rich fine detail, vertical 9:16 composition, main subject in the upper two thirds, no text, no letters, no watermark, no logo. Scene: Fabric of space stretching like a grid</t>
  </si>
  <si>
    <t xml:space="preserve">Cinematic photorealistic space visualization, NASA/ESA documentary style, dramatic volumetric lighting, deep blacks, rich fine detail, vertical 9:16 composition, main subject in the upper two thirds, no text, no letters, no watermark, no logo. Scene: Light ray traveling while galaxies recede</t>
  </si>
  <si>
    <t xml:space="preserve">Cinematic photorealistic space visualization, NASA/ESA documentary style, dramatic volumetric lighting, deep blacks, rich fine detail, vertical 9:16 composition, main subject in the upper two thirds, no text, no letters, no watermark, no logo. Scene: Edge of observable universe glowing CMB</t>
  </si>
  <si>
    <t xml:space="preserve">Cinematic photorealistic space visualization, NASA/ESA documentary style, dramatic volumetric lighting, deep blacks, rich fine detail, vertical 9:16 composition, main subject in the upper two thirds, no text, no letters, no watermark, no logo. Scene: Darkness beyond with faint hints of galaxies</t>
  </si>
  <si>
    <t xml:space="preserve">riser, whoosh</t>
  </si>
  <si>
    <t xml:space="preserve">L'univers observable est plus grand que son âge 🌌
Qu'est-ce qu'il y a au-delà, selon toi ?
#espace #univers #astronomie #science #vertige #shorts</t>
  </si>
  <si>
    <t xml:space="preserve">Produis la vidéo B06 « L'univers observable est plus grand que son âge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whoosh + musique « mystery » depuis la banque (-18 dB sous la voix, ducking). 6) Remotion : composition SpaceShort 1080×1920 30 fps, scènes calées sur les phrases, Ken Burns + parallaxe, sous-titres karaoké. 7) Contrôle qualité puis programmation BrightBean le J11 à 12:30 avec la légende fournie, label contenu IA activé.</t>
  </si>
  <si>
    <t xml:space="preserve">C06</t>
  </si>
  <si>
    <t xml:space="preserve">Mercure n'est pas la planète la plus chaude</t>
  </si>
  <si>
    <t xml:space="preserve">Quelle est la planète la plus chaude ? Beaucoup répondent Mercure, la plus proche du Soleil. Faux. Mercure n'a quasiment pas d'atmosphère pour garder la chaleur. Le jour, sa surface monte autour de 430 degrés. La nuit, elle chute vers moins 180. Le record, c'est Vénus : environ 465 degrés, jour et nuit, grâce à son épaisse atmosphère de CO2. Un effet de serre poussé à l'extrême. Encore plus fou : Mercure cache de la glace d'eau dans des cratères de ses pôles, jamais éclairés.</t>
  </si>
  <si>
    <t xml:space="preserve">Cinematic photorealistic space visualization, NASA/ESA documentary style, dramatic volumetric lighting, deep blacks, rich fine detail, vertical 9:16 composition, main subject in the upper two thirds, no text, no letters, no watermark, no logo. Scene: Mercury close to a huge blazing Sun</t>
  </si>
  <si>
    <t xml:space="preserve">Cinematic photorealistic space visualization, NASA/ESA documentary style, dramatic volumetric lighting, deep blacks, rich fine detail, vertical 9:16 composition, main subject in the upper two thirds, no text, no letters, no watermark, no logo. Scene: Split screen: scorching day side and frozen night side</t>
  </si>
  <si>
    <t xml:space="preserve">Cinematic photorealistic space visualization, NASA/ESA documentary style, dramatic volumetric lighting, deep blacks, rich fine detail, vertical 9:16 composition, main subject in the upper two thirds, no text, no letters, no watermark, no logo. Scene: Thermometer extremes over Mercury surface</t>
  </si>
  <si>
    <t xml:space="preserve">Cinematic photorealistic space visualization, NASA/ESA documentary style, dramatic volumetric lighting, deep blacks, rich fine detail, vertical 9:16 composition, main subject in the upper two thirds, no text, no letters, no watermark, no logo. Scene: Venus glowing hot under thick clouds</t>
  </si>
  <si>
    <t xml:space="preserve">Cinematic photorealistic space visualization, NASA/ESA documentary style, dramatic volumetric lighting, deep blacks, rich fine detail, vertical 9:16 composition, main subject in the upper two thirds, no text, no letters, no watermark, no logo. Scene: Greenhouse effect heat trapped in atmosphere</t>
  </si>
  <si>
    <t xml:space="preserve">Cinematic photorealistic space visualization, NASA/ESA documentary style, dramatic volumetric lighting, deep blacks, rich fine detail, vertical 9:16 composition, main subject in the upper two thirds, no text, no letters, no watermark, no logo. Scene: Ice in permanently shadowed polar crater on Mercury</t>
  </si>
  <si>
    <t xml:space="preserve">crackle, whoosh</t>
  </si>
  <si>
    <t xml:space="preserve">Mercure n'est pas la planète la plus chaude 🌌
Tu aurais répondu Mercure ?
#espace #planetes #systemesolaire #astronomie #science #shorts</t>
  </si>
  <si>
    <t xml:space="preserve">Produis la vidéo C06 « Mercure n'est pas la planète la plus chaude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crackle, whoosh + musique « tension » depuis la banque (-18 dB sous la voix, ducking). 6) Remotion : composition SpaceShort 1080×1920 30 fps, scènes calées sur les phrases, Ken Burns + parallaxe, sous-titres karaoké. 7) Contrôle qualité puis programmation BrightBean le J11 à 19:00 avec la légende fournie, label contenu IA activé.</t>
  </si>
  <si>
    <t xml:space="preserve">D06</t>
  </si>
  <si>
    <t xml:space="preserve">Tu es fait de poussière d'étoiles</t>
  </si>
  <si>
    <t xml:space="preserve">Le fer dans ton sang, le calcium dans tes os, l'oxygène que tu respires... Ils ont été fabriqués dans des étoiles. Juste après le Big Bang, il n'y avait presque que de l'hydrogène et de l'hélium. Les éléments plus lourds sont nés dans le cœur des étoiles, puis dispersés lors de leur mort. Et l'or de tes bijoux ? Une partie viendrait de collisions entre étoiles à neutrons. En 2017, on en a observé une, et on a détecté la signature d'éléments lourds. Tu es littéralement un recyclage d'étoiles.</t>
  </si>
  <si>
    <t xml:space="preserve">Cinematic photorealistic space visualization, NASA/ESA documentary style, dramatic volumetric lighting, deep blacks, rich fine detail, vertical 9:16 composition, main subject in the upper two thirds, no text, no letters, no watermark, no logo. Scene: Human silhouette filled with stars and nebula</t>
  </si>
  <si>
    <t xml:space="preserve">Cinematic photorealistic space visualization, NASA/ESA documentary style, dramatic volumetric lighting, deep blacks, rich fine detail, vertical 9:16 composition, main subject in the upper two thirds, no text, no letters, no watermark, no logo. Scene: Red blood cells glowing like stars</t>
  </si>
  <si>
    <t xml:space="preserve">Cinematic photorealistic space visualization, NASA/ESA documentary style, dramatic volumetric lighting, deep blacks, rich fine detail, vertical 9:16 composition, main subject in the upper two thirds, no text, no letters, no watermark, no logo. Scene: Star core forging elements</t>
  </si>
  <si>
    <t xml:space="preserve">Cinematic photorealistic space visualization, NASA/ESA documentary style, dramatic volumetric lighting, deep blacks, rich fine detail, vertical 9:16 composition, main subject in the upper two thirds, no text, no letters, no watermark, no logo. Scene: Supernova scattering glowing elements</t>
  </si>
  <si>
    <t xml:space="preserve">Cinematic photorealistic space visualization, NASA/ESA documentary style, dramatic volumetric lighting, deep blacks, rich fine detail, vertical 9:16 composition, main subject in the upper two thirds, no text, no letters, no watermark, no logo. Scene: Two neutron stars colliding in a kilonova</t>
  </si>
  <si>
    <t xml:space="preserve">Cinematic photorealistic space visualization, NASA/ESA documentary style, dramatic volumetric lighting, deep blacks, rich fine detail, vertical 9:16 composition, main subject in the upper two thirds, no text, no letters, no watermark, no logo. Scene: Gold ring glowing with cosmic light</t>
  </si>
  <si>
    <t xml:space="preserve">chime, deep_boom</t>
  </si>
  <si>
    <t xml:space="preserve">Tu es fait de poussière d'étoiles 🌌
Ça te fait quoi de savoir ça ?
#espace #trounoir #etoiles #astrophysique #science #shorts</t>
  </si>
  <si>
    <t xml:space="preserve">Produis la vidéo D06 « Tu es fait de poussière d'étoiles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deep_boom + musique « calm » depuis la banque (-18 dB sous la voix, ducking). 6) Remotion : composition SpaceShort 1080×1920 30 fps, scènes calées sur les phrases, Ken Burns + parallaxe, sous-titres karaoké. 7) Contrôle qualité puis programmation BrightBean le J12 à 08:00 avec la légende fournie, label contenu IA activé.</t>
  </si>
  <si>
    <t xml:space="preserve">E06</t>
  </si>
  <si>
    <t xml:space="preserve">Le disque d'or de Voyager</t>
  </si>
  <si>
    <t xml:space="preserve">En 1977, la NASA lance deux sondes, Voyager 1 et 2. À bord de chacune : un disque en cuivre plaqué or. Un message pour d'éventuels extraterrestres. Dessus, des salutations dans 55 langues, des sons de la Terre, de la musique, des images. Et un mode d'emploi gravé pour le lire. Voyager 1 est aujourd'hui à plus de 24 milliards de kilomètres, dans l'espace interstellaire. Elle nous envoie encore des signaux. Dans des dizaines de milliers d'années, elle passera près d'une autre étoile. Avec notre message.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</si>
  <si>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Golden record with engraved diagrams on its cover</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</si>
  <si>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Voyager probe launching in 1977</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</si>
  <si>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Sound waves and music notes floating in space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</si>
  <si>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Voyager 1 alone in interstellar space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</si>
  <si>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Radio dish on Earth receiving a faint signal</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</si>
  <si>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Distant star approached by a tiny probe</t>
  </si>
  <si>
    <t xml:space="preserve">chime, beep</t>
  </si>
  <si>
    <t xml:space="preserve">Le disque d'or de Voyager 🌌
Tu mettrais quoi sur le disque ?
#espace #histoire #conquetespatiale #nasa #science #shorts</t>
  </si>
  <si>
    <t xml:space="preserve">Produis la vidéo E06 « Le disque d'or de Voyager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beep + musique « wonder » depuis la banque (-18 dB sous la voix, ducking). 6) Remotion : composition SpaceShort 1080×1920 30 fps, scènes calées sur les phrases, Ken Burns + parallaxe, sous-titres karaoké. 7) Contrôle qualité puis programmation BrightBean le J12 à 12:30 avec la légende fournie, label contenu IA activé.</t>
  </si>
  <si>
    <t xml:space="preserve">F06</t>
  </si>
  <si>
    <t xml:space="preserve">L'espace est glacial ? Pas si simple</t>
  </si>
  <si>
    <t xml:space="preserve">L'espace est froid ? Oui et non. Le fond de l'univers est à environ moins 270 degrés. Mais dans le vide, il n'y a presque pas de matière pour transmettre la chaleur. Donc un objet ne refroidit pas vite : il perd sa chaleur uniquement en rayonnant. Et au soleil, ça chauffe fort. Près de la Terre, la surface de la Station spatiale peut dépasser 120 degrés côté soleil, et descendre sous moins 150 à l'ombre. C'est pour ça que les combinaisons et les sondes sont couvertes de couches isolantes.</t>
  </si>
  <si>
    <t xml:space="preserve">Cinematic photorealistic space visualization, NASA/ESA documentary style, dramatic volumetric lighting, deep blacks, rich fine detail, vertical 9:16 composition, main subject in the upper two thirds, no text, no letters, no watermark, no logo. Scene: Deep cold starfield with frost motifs</t>
  </si>
  <si>
    <t xml:space="preserve">Cinematic photorealistic space visualization, NASA/ESA documentary style, dramatic volumetric lighting, deep blacks, rich fine detail, vertical 9:16 composition, main subject in the upper two thirds, no text, no letters, no watermark, no logo. Scene: Thermometer floating in vacuum</t>
  </si>
  <si>
    <t xml:space="preserve">Cinematic photorealistic space visualization, NASA/ESA documentary style, dramatic volumetric lighting, deep blacks, rich fine detail, vertical 9:16 composition, main subject in the upper two thirds, no text, no letters, no watermark, no logo. Scene: Object radiating heat as infrared glow</t>
  </si>
  <si>
    <t xml:space="preserve">Cinematic photorealistic space visualization, NASA/ESA documentary style, dramatic volumetric lighting, deep blacks, rich fine detail, vertical 9:16 composition, main subject in the upper two thirds, no text, no letters, no watermark, no logo. Scene: ISS half in sunlight half in shadow</t>
  </si>
  <si>
    <t xml:space="preserve">Cinematic photorealistic space visualization, NASA/ESA documentary style, dramatic volumetric lighting, deep blacks, rich fine detail, vertical 9:16 composition, main subject in the upper two thirds, no text, no letters, no watermark, no logo. Scene: Spacesuit multilayer insulation close-up</t>
  </si>
  <si>
    <t xml:space="preserve">Cinematic photorealistic space visualization, NASA/ESA documentary style, dramatic volumetric lighting, deep blacks, rich fine detail, vertical 9:16 composition, main subject in the upper two thirds, no text, no letters, no watermark, no logo. Scene: Golden foil wrapped spacecraft</t>
  </si>
  <si>
    <t xml:space="preserve">whoosh, crackle</t>
  </si>
  <si>
    <t xml:space="preserve">L'espace est glacial ? Pas si simple 🌌
Chaud ou froid, finalement ?
#espace #idéesreçues #science #astronomie #lesavaistu #shorts</t>
  </si>
  <si>
    <t xml:space="preserve">Produis la vidéo F06 « L'espace est glacial ? Pas si simple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crackle + musique « mystery » depuis la banque (-18 dB sous la voix, ducking). 6) Remotion : composition SpaceShort 1080×1920 30 fps, scènes calées sur les phrases, Ken Burns + parallaxe, sous-titres karaoké. 7) Contrôle qualité puis programmation BrightBean le J12 à 19:00 avec la légende fournie, label contenu IA activé.</t>
  </si>
  <si>
    <t xml:space="preserve">A07</t>
  </si>
  <si>
    <t xml:space="preserve">Et si tu enlevais ton casque dans l'espace ?</t>
  </si>
  <si>
    <t xml:space="preserve">Au cinéma, on explose ou on gèle instantanément. En réalité, c'est différent. Sans casque dans le vide, tu ne gèles pas tout de suite : la chaleur se perd mal sans air. Tu n'exploses pas non plus, ta peau tient bon. Mais l'oxygène quitte tes poumons et ton sang. Tu gardes conscience une dizaine de secondes seulement. La salive sur ta langue se met à bouillir. Et surtout, ne retiens pas ta respiration : tes poumons pourraient se déchirer. Au bout d'une ou deux minutes, sans secours, c'est fini.</t>
  </si>
  <si>
    <t xml:space="preserve">Cinematic photorealistic space visualization, NASA/ESA documentary style, dramatic volumetric lighting, deep blacks, rich fine detail, vertical 9:16 composition, main subject in the upper two thirds, no text, no letters, no watermark, no logo. Scene: Astronaut in orbit reaching for helmet latch, Earth below</t>
  </si>
  <si>
    <t xml:space="preserve">Cinematic photorealistic space visualization, NASA/ESA documentary style, dramatic volumetric lighting, deep blacks, rich fine detail, vertical 9:16 composition, main subject in the upper two thirds, no text, no letters, no watermark, no logo. Scene: Helmet floating away in space</t>
  </si>
  <si>
    <t xml:space="preserve">Cinematic photorealistic space visualization, NASA/ESA documentary style, dramatic volumetric lighting, deep blacks, rich fine detail, vertical 9:16 composition, main subject in the upper two thirds, no text, no letters, no watermark, no logo. Scene: Close-up of an astronaut face in vacuum, dramatic but not graphic</t>
  </si>
  <si>
    <t xml:space="preserve">Cinematic photorealistic space visualization, NASA/ESA documentary style, dramatic volumetric lighting, deep blacks, rich fine detail, vertical 9:16 composition, main subject in the upper two thirds, no text, no letters, no watermark, no logo. Scene: Frost-free spacesuit glove, cold stars</t>
  </si>
  <si>
    <t xml:space="preserve">Cinematic photorealistic space visualization, NASA/ESA documentary style, dramatic volumetric lighting, deep blacks, rich fine detail, vertical 9:16 composition, main subject in the upper two thirds, no text, no letters, no watermark, no logo. Scene: Countdown timer overlay feeling, astronaut drifting</t>
  </si>
  <si>
    <t xml:space="preserve">Cinematic photorealistic space visualization, NASA/ESA documentary style, dramatic volumetric lighting, deep blacks, rich fine detail, vertical 9:16 composition, main subject in the upper two thirds, no text, no letters, no watermark, no logo. Scene: Rescue airlock door opening with light</t>
  </si>
  <si>
    <t xml:space="preserve">heartbeat, static, whoosh</t>
  </si>
  <si>
    <t xml:space="preserve">Et si tu enlevais ton casque dans l'espace ? 🌌
Tu savais que la salive bouillait dans le vide ?
#espace #etsi #science #univers #astronomie #shorts</t>
  </si>
  <si>
    <t xml:space="preserve">Produis la vidéo A07 « Et si tu enlevais ton casque dans l'espace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heartbeat, static, whoosh + musique « tension » depuis la banque (-18 dB sous la voix, ducking). 6) Remotion : composition SpaceShort 1080×1920 30 fps, scènes calées sur les phrases, Ken Burns + parallaxe, sous-titres karaoké. 7) Contrôle qualité puis programmation BrightBean le J13 à 08:00 avec la légende fournie, label contenu IA activé.</t>
  </si>
  <si>
    <t xml:space="preserve">B07</t>
  </si>
  <si>
    <t xml:space="preserve">Plus d'étoiles que de grains de sable ?</t>
  </si>
  <si>
    <t xml:space="preserve">Il y a plus d'étoiles dans l'univers que de grains de sable sur toutes les plages de la Terre. Ça a l'air d'une phrase de poster, mais les ordres de grandeur le confirment. Les plages contiendraient environ 7,5 milliards de milliards de grains. Pour les étoiles, les estimations tournent autour de 10 000 milliards de milliards, voire plus. Et chaque étoile peut avoir des planètes. Chaque poignée de sable que tu prends à la plage, c'est une minuscule fraction de ce qui brille là-haut.</t>
  </si>
  <si>
    <t xml:space="preserve">Cinematic photorealistic space visualization, NASA/ESA documentary style, dramatic volumetric lighting, deep blacks, rich fine detail, vertical 9:16 composition, main subject in the upper two thirds, no text, no letters, no watermark, no logo. Scene: Hand holding sand on a beach at night under stars</t>
  </si>
  <si>
    <t xml:space="preserve">Cinematic photorealistic space visualization, NASA/ESA documentary style, dramatic volumetric lighting, deep blacks, rich fine detail, vertical 9:16 composition, main subject in the upper two thirds, no text, no letters, no watermark, no logo. Scene: Macro of sand grains glowing like stars</t>
  </si>
  <si>
    <t xml:space="preserve">Cinematic photorealistic space visualization, NASA/ESA documentary style, dramatic volumetric lighting, deep blacks, rich fine detail, vertical 9:16 composition, main subject in the upper two thirds, no text, no letters, no watermark, no logo. Scene: Endless beach coastline from above</t>
  </si>
  <si>
    <t xml:space="preserve">Cinematic photorealistic space visualization, NASA/ESA documentary style, dramatic volumetric lighting, deep blacks, rich fine detail, vertical 9:16 composition, main subject in the upper two thirds, no text, no letters, no watermark, no logo. Scene: Deep field image packed with galaxies</t>
  </si>
  <si>
    <t xml:space="preserve">Cinematic photorealistic space visualization, NASA/ESA documentary style, dramatic volumetric lighting, deep blacks, rich fine detail, vertical 9:16 composition, main subject in the upper two thirds, no text, no letters, no watermark, no logo. Scene: Single star with orbiting planets</t>
  </si>
  <si>
    <t xml:space="preserve">Cinematic photorealistic space visualization, NASA/ESA documentary style, dramatic volumetric lighting, deep blacks, rich fine detail, vertical 9:16 composition, main subject in the upper two thirds, no text, no letters, no watermark, no logo. Scene: Sand grains morphing into a galaxy</t>
  </si>
  <si>
    <t xml:space="preserve">chime, whoosh</t>
  </si>
  <si>
    <t xml:space="preserve">Plus d'étoiles que de grains de sable ? 🌌
Tu y penseras à ta prochaine plage ?
#espace #univers #astronomie #science #vertige #shorts</t>
  </si>
  <si>
    <t xml:space="preserve">Produis la vidéo B07 « Plus d'étoiles que de grains de sable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whoosh + musique « calm » depuis la banque (-18 dB sous la voix, ducking). 6) Remotion : composition SpaceShort 1080×1920 30 fps, scènes calées sur les phrases, Ken Burns + parallaxe, sous-titres karaoké. 7) Contrôle qualité puis programmation BrightBean le J13 à 12:30 avec la légende fournie, label contenu IA activé.</t>
  </si>
  <si>
    <t xml:space="preserve">C07</t>
  </si>
  <si>
    <t xml:space="preserve">Saturne flotterait dans l'eau</t>
  </si>
  <si>
    <t xml:space="preserve">Saturne est plus de 750 fois plus volumineuse que la Terre. Et pourtant, elle flotterait dans une baignoire géante. Sa densité moyenne est inférieure à celle de l'eau. Elle est faite surtout d'hydrogène et d'hélium. Et ses anneaux ? Ils s'étendent sur des dizaines de milliers de kilomètres, mais leur épaisseur ne dépasse souvent pas une dizaine de mètres. Des milliards de morceaux de glace, du grain de poussière au bloc de la taille d'une maison. Et selon les données de Cassini, ils seraient relativement jeunes.</t>
  </si>
  <si>
    <t xml:space="preserve">Cinematic photorealistic space visualization, NASA/ESA documentary style, dramatic volumetric lighting, deep blacks, rich fine detail, vertical 9:16 composition, main subject in the upper two thirds, no text, no letters, no watermark, no logo. Scene: Saturn floating in a gigantic bathtub, surreal</t>
  </si>
  <si>
    <t xml:space="preserve">Cinematic photorealistic space visualization, NASA/ESA documentary style, dramatic volumetric lighting, deep blacks, rich fine detail, vertical 9:16 composition, main subject in the upper two thirds, no text, no letters, no watermark, no logo. Scene: Saturn's layers of hydrogen and helium</t>
  </si>
  <si>
    <t xml:space="preserve">Cinematic photorealistic space visualization, NASA/ESA documentary style, dramatic volumetric lighting, deep blacks, rich fine detail, vertical 9:16 composition, main subject in the upper two thirds, no text, no letters, no watermark, no logo. Scene: Edge-on view of razor-thin rings</t>
  </si>
  <si>
    <t xml:space="preserve">Cinematic photorealistic space visualization, NASA/ESA documentary style, dramatic volumetric lighting, deep blacks, rich fine detail, vertical 9:16 composition, main subject in the upper two thirds, no text, no letters, no watermark, no logo. Scene: Ring particles of ice, from dust to house-sized chunks</t>
  </si>
  <si>
    <t xml:space="preserve">Cinematic photorealistic space visualization, NASA/ESA documentary style, dramatic volumetric lighting, deep blacks, rich fine detail, vertical 9:16 composition, main subject in the upper two thirds, no text, no letters, no watermark, no logo. Scene: Cassini diving between Saturn and its rings</t>
  </si>
  <si>
    <t xml:space="preserve">Cinematic photorealistic space visualization, NASA/ESA documentary style, dramatic volumetric lighting, deep blacks, rich fine detail, vertical 9:16 composition, main subject in the upper two thirds, no text, no letters, no watermark, no logo. Scene: Saturn majestic with rings, wide shot</t>
  </si>
  <si>
    <t xml:space="preserve">Saturne flotterait dans l'eau 🌌
Il te faudrait une sacrée baignoire !
#espace #planetes #systemesolaire #astronomie #science #shorts</t>
  </si>
  <si>
    <t xml:space="preserve">Produis la vidéo C07 « Saturne flotterait dans l'eau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wonder » depuis la banque (-18 dB sous la voix, ducking). 6) Remotion : composition SpaceShort 1080×1920 30 fps, scènes calées sur les phrases, Ken Burns + parallaxe, sous-titres karaoké. 7) Contrôle qualité puis programmation BrightBean le J13 à 19:00 avec la légende fournie, label contenu IA activé.</t>
  </si>
  <si>
    <t xml:space="preserve">D07</t>
  </si>
  <si>
    <t xml:space="preserve">Les ondes gravitationnelles</t>
  </si>
  <si>
    <t xml:space="preserve">En 1916, Einstein prédit que l'espace-temps peut vibrer, comme la surface d'un étang. Il pense qu'on ne les détectera jamais : trop faibles. Le 14 septembre 2015, les détecteurs LIGO captent un signal. Deux trous noirs, d'environ 29 et 36 fois la masse du Soleil, ont fusionné à plus d'un milliard d'années-lumière. La déformation mesurée sur Terre était des milliers de fois plus petite qu'un proton. Prix Nobel de physique en 2017. On peut désormais écouter l'univers.</t>
  </si>
  <si>
    <t xml:space="preserve">Cinematic photorealistic space visualization, NASA/ESA documentary style, dramatic volumetric lighting, deep blacks, rich fine detail, vertical 9:16 composition, main subject in the upper two thirds, no text, no letters, no watermark, no logo. Scene: Ripples in the fabric of spacetime</t>
  </si>
  <si>
    <t xml:space="preserve">Cinematic photorealistic space visualization, NASA/ESA documentary style, dramatic volumetric lighting, deep blacks, rich fine detail, vertical 9:16 composition, main subject in the upper two thirds, no text, no letters, no watermark, no logo. Scene: Einstein-era chalkboard with equations, no person</t>
  </si>
  <si>
    <t xml:space="preserve">Cinematic photorealistic space visualization, NASA/ESA documentary style, dramatic volumetric lighting, deep blacks, rich fine detail, vertical 9:16 composition, main subject in the upper two thirds, no text, no letters, no watermark, no logo. Scene: Two black holes spiraling together</t>
  </si>
  <si>
    <t xml:space="preserve">Cinematic photorealistic space visualization, NASA/ESA documentary style, dramatic volumetric lighting, deep blacks, rich fine detail, vertical 9:16 composition, main subject in the upper two thirds, no text, no letters, no watermark, no logo. Scene: LIGO L-shaped detector arms from above</t>
  </si>
  <si>
    <t xml:space="preserve">Cinematic photorealistic space visualization, NASA/ESA documentary style, dramatic volumetric lighting, deep blacks, rich fine detail, vertical 9:16 composition, main subject in the upper two thirds, no text, no letters, no watermark, no logo. Scene: Tiny proton next to a measurement scale</t>
  </si>
  <si>
    <t xml:space="preserve">Cinematic photorealistic space visualization, NASA/ESA documentary style, dramatic volumetric lighting, deep blacks, rich fine detail, vertical 9:16 composition, main subject in the upper two thirds, no text, no letters, no watermark, no logo. Scene: Chirp waveform glowing in space</t>
  </si>
  <si>
    <t xml:space="preserve">Les ondes gravitationnelles 🌌
Écouter l'univers, ça te parle ?
#espace #trounoir #etoiles #astrophysique #science #shorts</t>
  </si>
  <si>
    <t xml:space="preserve">Produis la vidéo D07 « Les ondes gravitationnelles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deep_boom + musique « epic » depuis la banque (-18 dB sous la voix, ducking). 6) Remotion : composition SpaceShort 1080×1920 30 fps, scènes calées sur les phrases, Ken Burns + parallaxe, sous-titres karaoké. 7) Contrôle qualité puis programmation BrightBean le J14 à 08:00 avec la légende fournie, label contenu IA activé.</t>
  </si>
  <si>
    <t xml:space="preserve">E07</t>
  </si>
  <si>
    <t xml:space="preserve">Le point bleu pâle</t>
  </si>
  <si>
    <t xml:space="preserve">Le 14 février 1990, Voyager 1 se retourne une dernière fois. À environ 6 milliards de kilomètres, elle photographie la Terre. Sur l'image : un minuscule point bleu, plus petit qu'un pixel, dans un rayon de lumière. C'est l'astronome Carl Sagan qui a insisté pour prendre cette photo. Il en a tiré une réflexion célèbre : tout ce qu'on a connu, toutes les guerres, tous les amours, toute l'histoire humaine, s'est passé sur ce grain de poussière. Ça remet les choses en perspective.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</si>
  <si>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Voyager 1 turning its camera back toward the Sun</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</si>
  <si>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Tiny pale blue dot in a sunbeam</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</si>
  <si>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Vast darkness around a single speck of light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</si>
  <si>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Astronomer silhouette looking at the stars, 1990</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</si>
  <si>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Montage-like glow of human history on a small sphere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</si>
  <si>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Earth as a speck from the edge of the solar system</t>
  </si>
  <si>
    <t xml:space="preserve">Le point bleu pâle 🌌
Ça te fait quoi, cette photo ?
#espace #histoire #conquetespatiale #nasa #science #shorts</t>
  </si>
  <si>
    <t xml:space="preserve">Produis la vidéo E07 « Le point bleu pâle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 musique « calm » depuis la banque (-18 dB sous la voix, ducking). 6) Remotion : composition SpaceShort 1080×1920 30 fps, scènes calées sur les phrases, Ken Burns + parallaxe, sous-titres karaoké. 7) Contrôle qualité puis programmation BrightBean le J14 à 12:30 avec la légende fournie, label contenu IA activé.</t>
  </si>
  <si>
    <t xml:space="preserve">F07</t>
  </si>
  <si>
    <t xml:space="preserve">Une étoile filante n'est pas une étoile</t>
  </si>
  <si>
    <t xml:space="preserve">Tu fais un vœu en voyant une étoile filante ? Ce n'est pas une étoile. C'est souvent un grain de poussière, pas plus gros qu'un grain de sable. Il entre dans l'atmosphère à des dizaines de kilomètres par seconde. À cette vitesse, il comprime et chauffe l'air devant lui : tout s'illumine, vers 80 à 100 km d'altitude. Il se désintègre en une fraction de seconde. Les pluies d'étoiles filantes, comme les Perséides en août, arrivent quand la Terre traverse la traînée de poussière d'une comète.</t>
  </si>
  <si>
    <t xml:space="preserve">Cinematic photorealistic space visualization, NASA/ESA documentary style, dramatic volumetric lighting, deep blacks, rich fine detail, vertical 9:16 composition, main subject in the upper two thirds, no text, no letters, no watermark, no logo. Scene: Shooting star streaking across a night sky</t>
  </si>
  <si>
    <t xml:space="preserve">Cinematic photorealistic space visualization, NASA/ESA documentary style, dramatic volumetric lighting, deep blacks, rich fine detail, vertical 9:16 composition, main subject in the upper two thirds, no text, no letters, no watermark, no logo. Scene: Tiny dust grain in space, macro</t>
  </si>
  <si>
    <t xml:space="preserve">Cinematic photorealistic space visualization, NASA/ESA documentary style, dramatic volumetric lighting, deep blacks, rich fine detail, vertical 9:16 composition, main subject in the upper two thirds, no text, no letters, no watermark, no logo. Scene: Meteor glowing as it enters the atmosphere</t>
  </si>
  <si>
    <t xml:space="preserve">Cinematic photorealistic space visualization, NASA/ESA documentary style, dramatic volumetric lighting, deep blacks, rich fine detail, vertical 9:16 composition, main subject in the upper two thirds, no text, no letters, no watermark, no logo. Scene: Altitude diagram of meteor burning 80-100 km</t>
  </si>
  <si>
    <t xml:space="preserve">Cinematic photorealistic space visualization, NASA/ESA documentary style, dramatic volumetric lighting, deep blacks, rich fine detail, vertical 9:16 composition, main subject in the upper two thirds, no text, no letters, no watermark, no logo. Scene: Perseid meteor shower over a summer field</t>
  </si>
  <si>
    <t xml:space="preserve">Cinematic photorealistic space visualization, NASA/ESA documentary style, dramatic volumetric lighting, deep blacks, rich fine detail, vertical 9:16 composition, main subject in the upper two thirds, no text, no letters, no watermark, no logo. Scene: Comet trail of dust crossing Earth's orbit</t>
  </si>
  <si>
    <t xml:space="preserve">Une étoile filante n'est pas une étoile 🌌
Tu fais toujours un vœu ?
#espace #idéesreçues #science #astronomie #lesavaistu #shorts</t>
  </si>
  <si>
    <t xml:space="preserve">Produis la vidéo F07 « Une étoile filante n'est pas une étoile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wonder » depuis la banque (-18 dB sous la voix, ducking). 6) Remotion : composition SpaceShort 1080×1920 30 fps, scènes calées sur les phrases, Ken Burns + parallaxe, sous-titres karaoké. 7) Contrôle qualité puis programmation BrightBean le J14 à 19:00 avec la légende fournie, label contenu IA activé.</t>
  </si>
  <si>
    <t xml:space="preserve">A08</t>
  </si>
  <si>
    <t xml:space="preserve">Et si la Terre avait des anneaux ?</t>
  </si>
  <si>
    <t xml:space="preserve">Imagine la Terre avec des anneaux, comme Saturne. Depuis la France, tu verrais une immense arche traverser le ciel, du levant au couchant. La nuit, elle brillerait plus fort que la pleine lune. Selon où tu vis, le spectacle change : à l'équateur, un fin trait lumineux au-dessus de ta tête. Près des pôles, les anneaux seraient cachés sous l'horizon. Et en hiver, leur ombre pourrait plonger des régions entières dans une pénombre encore plus froide. Beau, mais pas sans conséquences.</t>
  </si>
  <si>
    <t xml:space="preserve">Cinematic photorealistic space visualization, NASA/ESA documentary style, dramatic volumetric lighting, deep blacks, rich fine detail, vertical 9:16 composition, main subject in the upper two thirds, no text, no letters, no watermark, no logo. Scene: Earth with bright Saturn-like rings seen from space</t>
  </si>
  <si>
    <t xml:space="preserve">Cinematic photorealistic space visualization, NASA/ESA documentary style, dramatic volumetric lighting, deep blacks, rich fine detail, vertical 9:16 composition, main subject in the upper two thirds, no text, no letters, no watermark, no logo. Scene: European countryside with a giant ring arch across the sky</t>
  </si>
  <si>
    <t xml:space="preserve">Cinematic photorealistic space visualization, NASA/ESA documentary style, dramatic volumetric lighting, deep blacks, rich fine detail, vertical 9:16 composition, main subject in the upper two thirds, no text, no letters, no watermark, no logo. Scene: Night sky with glowing rings brighter than the Moon</t>
  </si>
  <si>
    <t xml:space="preserve">Cinematic photorealistic space visualization, NASA/ESA documentary style, dramatic volumetric lighting, deep blacks, rich fine detail, vertical 9:16 composition, main subject in the upper two thirds, no text, no letters, no watermark, no logo. Scene: Equator view: thin ring line straight overhead</t>
  </si>
  <si>
    <t xml:space="preserve">Cinematic photorealistic space visualization, NASA/ESA documentary style, dramatic volumetric lighting, deep blacks, rich fine detail, vertical 9:16 composition, main subject in the upper two thirds, no text, no letters, no watermark, no logo. Scene: Polar landscape with rings hidden below horizon</t>
  </si>
  <si>
    <t xml:space="preserve">Cinematic photorealistic space visualization, NASA/ESA documentary style, dramatic volumetric lighting, deep blacks, rich fine detail, vertical 9:16 composition, main subject in the upper two thirds, no text, no letters, no watermark, no logo. Scene: Ring shadow falling across a winter continent</t>
  </si>
  <si>
    <t xml:space="preserve">Et si la Terre avait des anneaux ? 🌌
Tu voudrais voir ça depuis ta fenêtre ?
#espace #etsi #science #univers #astronomie #shorts</t>
  </si>
  <si>
    <t xml:space="preserve">Produis la vidéo A08 « Et si la Terre avait des anneaux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wonder » depuis la banque (-18 dB sous la voix, ducking). 6) Remotion : composition SpaceShort 1080×1920 30 fps, scènes calées sur les phrases, Ken Burns + parallaxe, sous-titres karaoké. 7) Contrôle qualité puis programmation BrightBean le J15 à 08:00 avec la légende fournie, label contenu IA activé.</t>
  </si>
  <si>
    <t xml:space="preserve">B08</t>
  </si>
  <si>
    <t xml:space="preserve">Le trou noir plus grand que le Système solaire</t>
  </si>
  <si>
    <t xml:space="preserve">En 2019, on a photographié pour la première fois un trou noir : M87*, au cœur de la galaxie M87. Sa masse ? Environ 6,5 milliards de fois celle du Soleil. Son horizon des événements, la limite de non-retour, ferait plus de trois fois la taille de l'orbite de Pluton. Tout notre Système solaire tiendrait à l'intérieur. Et la lumière de cette photo a voyagé 55 millions d'années pour arriver jusqu'à nous. Ce qu'on voit, c'est le trou noir tel qu'il était à l'époque où les dinosaures venaient de disparaître.</t>
  </si>
  <si>
    <t xml:space="preserve">Cinematic photorealistic space visualization, NASA/ESA documentary style, dramatic volumetric lighting, deep blacks, rich fine detail, vertical 9:16 composition, main subject in the upper two thirds, no text, no letters, no watermark, no logo. Scene: Glowing orange ring around a black hole shadow</t>
  </si>
  <si>
    <t xml:space="preserve">Cinematic photorealistic space visualization, NASA/ESA documentary style, dramatic volumetric lighting, deep blacks, rich fine detail, vertical 9:16 composition, main subject in the upper two thirds, no text, no letters, no watermark, no logo. Scene: Giant elliptical galaxy M87 with a jet</t>
  </si>
  <si>
    <t xml:space="preserve">Cinematic photorealistic space visualization, NASA/ESA documentary style, dramatic volumetric lighting, deep blacks, rich fine detail, vertical 9:16 composition, main subject in the upper two thirds, no text, no letters, no watermark, no logo. Scene: Solar system orbits drawn inside a black hole horizon</t>
  </si>
  <si>
    <t xml:space="preserve">Cinematic photorealistic space visualization, NASA/ESA documentary style, dramatic volumetric lighting, deep blacks, rich fine detail, vertical 9:16 composition, main subject in the upper two thirds, no text, no letters, no watermark, no logo. Scene: Pluto orbit tiny compared to the horizon</t>
  </si>
  <si>
    <t xml:space="preserve">Cinematic photorealistic space visualization, NASA/ESA documentary style, dramatic volumetric lighting, deep blacks, rich fine detail, vertical 9:16 composition, main subject in the upper two thirds, no text, no letters, no watermark, no logo. Scene: Light traveling across intergalactic space</t>
  </si>
  <si>
    <t xml:space="preserve">Cinematic photorealistic space visualization, NASA/ESA documentary style, dramatic volumetric lighting, deep blacks, rich fine detail, vertical 9:16 composition, main subject in the upper two thirds, no text, no letters, no watermark, no logo. Scene: Early Cenozoic Earth landscape</t>
  </si>
  <si>
    <t xml:space="preserve">Le trou noir plus grand que le Système solaire 🌌
Tu te rappelles cette photo de 2019 ?
#espace #univers #astronomie #science #vertige #shorts</t>
  </si>
  <si>
    <t xml:space="preserve">Produis la vidéo B08 « Le trou noir plus grand que le Système solaire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deep_boom, riser + musique « epic » depuis la banque (-18 dB sous la voix, ducking). 6) Remotion : composition SpaceShort 1080×1920 30 fps, scènes calées sur les phrases, Ken Burns + parallaxe, sous-titres karaoké. 7) Contrôle qualité puis programmation BrightBean le J15 à 12:30 avec la légende fournie, label contenu IA activé.</t>
  </si>
  <si>
    <t xml:space="preserve">C08</t>
  </si>
  <si>
    <t xml:space="preserve">Neptune, découverte avec un crayon</t>
  </si>
  <si>
    <t xml:space="preserve">Neptune est la seule planète découverte par le calcul avant d'être vue. Au 19e siècle, Uranus ne suivait pas l'orbite prévue. Le mathématicien français Urbain Le Verrier en déduit qu'une planète inconnue la perturbe, et calcule sa position. En 1846, l'astronome Johann Galle pointe son télescope au bon endroit : Neptune est là. Et ce monde bleu est violent : ses vents atteignent environ 2 000 km/h, les plus rapides du Système solaire. Une planète trouvée avec un crayon et du papier.</t>
  </si>
  <si>
    <t xml:space="preserve">Cinematic photorealistic space visualization, NASA/ESA documentary style, dramatic volumetric lighting, deep blacks, rich fine detail, vertical 9:16 composition, main subject in the upper two thirds, no text, no letters, no watermark, no logo. Scene: Neptune deep blue with white clouds</t>
  </si>
  <si>
    <t xml:space="preserve">Cinematic photorealistic space visualization, NASA/ESA documentary style, dramatic volumetric lighting, deep blacks, rich fine detail, vertical 9:16 composition, main subject in the upper two thirds, no text, no letters, no watermark, no logo. Scene: 19th century desk with orbital calculations by candlelight</t>
  </si>
  <si>
    <t xml:space="preserve">Cinematic photorealistic space visualization, NASA/ESA documentary style, dramatic volumetric lighting, deep blacks, rich fine detail, vertical 9:16 composition, main subject in the upper two thirds, no text, no letters, no watermark, no logo. Scene: Portrait-style illustration of a 19th century French mathematician</t>
  </si>
  <si>
    <t xml:space="preserve">Cinematic photorealistic space visualization, NASA/ESA documentary style, dramatic volumetric lighting, deep blacks, rich fine detail, vertical 9:16 composition, main subject in the upper two thirds, no text, no letters, no watermark, no logo. Scene: Old brass telescope pointed at the night sky, 1846</t>
  </si>
  <si>
    <t xml:space="preserve">Cinematic photorealistic space visualization, NASA/ESA documentary style, dramatic volumetric lighting, deep blacks, rich fine detail, vertical 9:16 composition, main subject in the upper two thirds, no text, no letters, no watermark, no logo. Scene: Supersonic winds streaking across Neptune</t>
  </si>
  <si>
    <t xml:space="preserve">Cinematic photorealistic space visualization, NASA/ESA documentary style, dramatic volumetric lighting, deep blacks, rich fine detail, vertical 9:16 composition, main subject in the upper two thirds, no text, no letters, no watermark, no logo. Scene: Dark storm spot on Neptune</t>
  </si>
  <si>
    <t xml:space="preserve">wind, chime</t>
  </si>
  <si>
    <t xml:space="preserve">Neptune, découverte avec un crayon 🌌
Tu connaissais Le Verrier ?
#espace #planetes #systemesolaire #astronomie #science #shorts</t>
  </si>
  <si>
    <t xml:space="preserve">Produis la vidéo C08 « Neptune, découverte avec un crayon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wind, chime + musique « retro » depuis la banque (-18 dB sous la voix, ducking). 6) Remotion : composition SpaceShort 1080×1920 30 fps, scènes calées sur les phrases, Ken Burns + parallaxe, sous-titres karaoké. 7) Contrôle qualité puis programmation BrightBean le J15 à 19:00 avec la légende fournie, label contenu IA activé.</t>
  </si>
  <si>
    <t xml:space="preserve">D08</t>
  </si>
  <si>
    <t xml:space="preserve">Le monstre au centre de notre galaxie</t>
  </si>
  <si>
    <t xml:space="preserve">Au centre de la Voie lactée, à 26 000 années-lumière, se trouve Sagittarius A*. Un trou noir d'environ 4 millions de fois la masse du Soleil. Comment on l'a prouvé ? En observant, pendant des décennies, des étoiles qui tournent autour de lui. L'une d'elles, S2, fait le tour en 16 ans, à des vitesses de plusieurs milliers de km par seconde. Rien d'autre qu'un trou noir ne peut expliquer ces orbites. Reinhard Genzel et Andrea Ghez ont reçu le Nobel de physique 2020 pour ce travail.</t>
  </si>
  <si>
    <t xml:space="preserve">Cinematic photorealistic space visualization, NASA/ESA documentary style, dramatic volumetric lighting, deep blacks, rich fine detail, vertical 9:16 composition, main subject in the upper two thirds, no text, no letters, no watermark, no logo. Scene: Galactic center glowing with dense stars</t>
  </si>
  <si>
    <t xml:space="preserve">Cinematic photorealistic space visualization, NASA/ESA documentary style, dramatic volumetric lighting, deep blacks, rich fine detail, vertical 9:16 composition, main subject in the upper two thirds, no text, no letters, no watermark, no logo. Scene: Sagittarius A* shadow ring</t>
  </si>
  <si>
    <t xml:space="preserve">Cinematic photorealistic space visualization, NASA/ESA documentary style, dramatic volumetric lighting, deep blacks, rich fine detail, vertical 9:16 composition, main subject in the upper two thirds, no text, no letters, no watermark, no logo. Scene: Star S2 tracing an elliptical orbit</t>
  </si>
  <si>
    <t xml:space="preserve">Cinematic photorealistic space visualization, NASA/ESA documentary style, dramatic volumetric lighting, deep blacks, rich fine detail, vertical 9:16 composition, main subject in the upper two thirds, no text, no letters, no watermark, no logo. Scene: Time-lapse style star orbits around an invisible point</t>
  </si>
  <si>
    <t xml:space="preserve">Cinematic photorealistic space visualization, NASA/ESA documentary style, dramatic volumetric lighting, deep blacks, rich fine detail, vertical 9:16 composition, main subject in the upper two thirds, no text, no letters, no watermark, no logo. Scene: Observatory with adaptive optics laser</t>
  </si>
  <si>
    <t xml:space="preserve">Cinematic photorealistic space visualization, NASA/ESA documentary style, dramatic volumetric lighting, deep blacks, rich fine detail, vertical 9:16 composition, main subject in the upper two thirds, no text, no letters, no watermark, no logo. Scene: Milky Way with arrow to the center</t>
  </si>
  <si>
    <t xml:space="preserve">deep_boom, rumble</t>
  </si>
  <si>
    <t xml:space="preserve">Le monstre au centre de notre galaxie 🌌
4 millions de Soleils. Tu imagines ?
#espace #trounoir #etoiles #astrophysique #science #shorts</t>
  </si>
  <si>
    <t xml:space="preserve">Produis la vidéo D08 « Le monstre au centre de notre galaxie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deep_boom, rumble + musique « epic » depuis la banque (-18 dB sous la voix, ducking). 6) Remotion : composition SpaceShort 1080×1920 30 fps, scènes calées sur les phrases, Ken Burns + parallaxe, sous-titres karaoké. 7) Contrôle qualité puis programmation BrightBean le J16 à 08:00 avec la légende fournie, label contenu IA activé.</t>
  </si>
  <si>
    <t xml:space="preserve">E08</t>
  </si>
  <si>
    <t xml:space="preserve">Hubble était myope</t>
  </si>
  <si>
    <t xml:space="preserve">Avril 1990 : le télescope spatial Hubble est lancé. Grande fierté. Puis les premières images arrivent... floues. Son miroir principal a un défaut de forme. Une erreur d'environ 2 microns sur le bord. Moins qu'un cheveu, mais suffisant pour tout gâcher. La solution ? Des lunettes. En 1993, des astronautes installent des optiques correctrices pendant une mission spectaculaire. Et Hubble devient l'un des instruments scientifiques les plus productifs de l'histoire. Il fonctionne encore aujourd'hui.</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</si>
  <si>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Hubble telescope in orbit above Earth</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</si>
  <si>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Blurry star image on a 1990 screen</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</si>
  <si>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Giant polished mirror with a tiny flaw highlighted</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</si>
  <si>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Astronauts servicing Hubble in the shuttle bay</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</si>
  <si>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Sharp spectacular nebula image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</si>
  <si>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Hubble with Earth horizon at sunset</t>
  </si>
  <si>
    <t xml:space="preserve">Hubble était myope 🌌
Un télescope avec des lunettes, t'y croyais ?
#espace #histoire #conquetespatiale #nasa #science #shorts</t>
  </si>
  <si>
    <t xml:space="preserve">Produis la vidéo E08 « Hubble était myope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retro » depuis la banque (-18 dB sous la voix, ducking). 6) Remotion : composition SpaceShort 1080×1920 30 fps, scènes calées sur les phrases, Ken Burns + parallaxe, sous-titres karaoké. 7) Contrôle qualité puis programmation BrightBean le J16 à 12:30 avec la légende fournie, label contenu IA activé.</t>
  </si>
  <si>
    <t xml:space="preserve">F08</t>
  </si>
  <si>
    <t xml:space="preserve">L'étoile polaire n'est pas la plus brillante</t>
  </si>
  <si>
    <t xml:space="preserve">L'étoile polaire est la plus brillante du ciel ? Loin de là. Elle n'est même pas dans le top 40. La plus brillante, c'est Sirius. L'étoile polaire est célèbre pour une autre raison : elle est presque alignée avec l'axe de rotation de la Terre. Toutes les étoiles semblent tourner autour d'elle. Elle indique le nord. Mais ce ne sera pas toujours elle. L'axe de la Terre décrit un lent cercle en environ 26 000 ans. Dans environ 12 000 ans, c'est Véga qui jouera ce rôle.</t>
  </si>
  <si>
    <t xml:space="preserve">Cinematic photorealistic space visualization, NASA/ESA documentary style, dramatic volumetric lighting, deep blacks, rich fine detail, vertical 9:16 composition, main subject in the upper two thirds, no text, no letters, no watermark, no logo. Scene: Star trails circling Polaris</t>
  </si>
  <si>
    <t xml:space="preserve">Cinematic photorealistic space visualization, NASA/ESA documentary style, dramatic volumetric lighting, deep blacks, rich fine detail, vertical 9:16 composition, main subject in the upper two thirds, no text, no letters, no watermark, no logo. Scene: Polaris modest among brighter stars</t>
  </si>
  <si>
    <t xml:space="preserve">Cinematic photorealistic space visualization, NASA/ESA documentary style, dramatic volumetric lighting, deep blacks, rich fine detail, vertical 9:16 composition, main subject in the upper two thirds, no text, no letters, no watermark, no logo. Scene: Sirius blazing brightly</t>
  </si>
  <si>
    <t xml:space="preserve">Cinematic photorealistic space visualization, NASA/ESA documentary style, dramatic volumetric lighting, deep blacks, rich fine detail, vertical 9:16 composition, main subject in the upper two thirds, no text, no letters, no watermark, no logo. Scene: Compass pointing north under stars</t>
  </si>
  <si>
    <t xml:space="preserve">Cinematic photorealistic space visualization, NASA/ESA documentary style, dramatic volumetric lighting, deep blacks, rich fine detail, vertical 9:16 composition, main subject in the upper two thirds, no text, no letters, no watermark, no logo. Scene: Earth axis precessing like a spinning top</t>
  </si>
  <si>
    <t xml:space="preserve">Cinematic photorealistic space visualization, NASA/ESA documentary style, dramatic volumetric lighting, deep blacks, rich fine detail, vertical 9:16 composition, main subject in the upper two thirds, no text, no letters, no watermark, no logo. Scene: Vega as future pole star</t>
  </si>
  <si>
    <t xml:space="preserve">L'étoile polaire n'est pas la plus brillante 🌌
Tu pensais qu'elle était la plus brillante ?
#espace #idéesreçues #science #astronomie #lesavaistu #shorts</t>
  </si>
  <si>
    <t xml:space="preserve">Produis la vidéo F08 « L'étoile polaire n'est pas la plus brillante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whoosh + musique « calm » depuis la banque (-18 dB sous la voix, ducking). 6) Remotion : composition SpaceShort 1080×1920 30 fps, scènes calées sur les phrases, Ken Burns + parallaxe, sous-titres karaoké. 7) Contrôle qualité puis programmation BrightBean le J16 à 19:00 avec la légende fournie, label contenu IA activé.</t>
  </si>
  <si>
    <t xml:space="preserve">A09</t>
  </si>
  <si>
    <t xml:space="preserve">Et si on creusait un tunnel à travers la Terre ?</t>
  </si>
  <si>
    <t xml:space="preserve">On creuse un tunnel droit à travers la Terre, et tu sautes dedans. Sans frottement de l'air, tu accélères jusqu'au centre, puis tu ralentis en remontant. Tu arrives pile de l'autre côté, environ 40 minutes plus tard. Et si personne ne te rattrape, tu retombes. Aller-retour, pour l'éternité. Petit problème : au centre, il fait plus de 5 000 degrés et la pression écraserait n'importe quel matériau. Le trou le plus profond jamais creusé, en Russie, s'arrête à 12 kilomètres. Il en reste 12 700.</t>
  </si>
  <si>
    <t xml:space="preserve">Cinematic photorealistic space visualization, NASA/ESA documentary style, dramatic volumetric lighting, deep blacks, rich fine detail, vertical 9:16 composition, main subject in the upper two thirds, no text, no letters, no watermark, no logo. Scene: Cross-section of Earth with a straight tunnel through the core</t>
  </si>
  <si>
    <t xml:space="preserve">Cinematic photorealistic space visualization, NASA/ESA documentary style, dramatic volumetric lighting, deep blacks, rich fine detail, vertical 9:16 composition, main subject in the upper two thirds, no text, no letters, no watermark, no logo. Scene: Person free-falling in a glowing tunnel</t>
  </si>
  <si>
    <t xml:space="preserve">Cinematic photorealistic space visualization, NASA/ESA documentary style, dramatic volumetric lighting, deep blacks, rich fine detail, vertical 9:16 composition, main subject in the upper two thirds, no text, no letters, no watermark, no logo. Scene: Molten iron core glowing white hot</t>
  </si>
  <si>
    <t xml:space="preserve">Cinematic photorealistic space visualization, NASA/ESA documentary style, dramatic volumetric lighting, deep blacks, rich fine detail, vertical 9:16 composition, main subject in the upper two thirds, no text, no letters, no watermark, no logo. Scene: Person emerging on the other side of the planet</t>
  </si>
  <si>
    <t xml:space="preserve">Cinematic photorealistic space visualization, NASA/ESA documentary style, dramatic volumetric lighting, deep blacks, rich fine detail, vertical 9:16 composition, main subject in the upper two thirds, no text, no letters, no watermark, no logo. Scene: Kola Superdeep Borehole rusty metal cap in a field</t>
  </si>
  <si>
    <t xml:space="preserve">Cinematic photorealistic space visualization, NASA/ESA documentary style, dramatic volumetric lighting, deep blacks, rich fine detail, vertical 9:16 composition, main subject in the upper two thirds, no text, no letters, no watermark, no logo. Scene: Earth cross-section showing how shallow the deepest hole is</t>
  </si>
  <si>
    <t xml:space="preserve">whoosh, rumble</t>
  </si>
  <si>
    <t xml:space="preserve">Et si on creusait un tunnel à travers la Terre ? 🌌
Tu sauterais ?
#espace #etsi #science #univers #astronomie #shorts</t>
  </si>
  <si>
    <t xml:space="preserve">Produis la vidéo A09 « Et si on creusait un tunnel à travers la Terre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rumble + musique « wonder » depuis la banque (-18 dB sous la voix, ducking). 6) Remotion : composition SpaceShort 1080×1920 30 fps, scènes calées sur les phrases, Ken Burns + parallaxe, sous-titres karaoké. 7) Contrôle qualité puis programmation BrightBean le J17 à 08:00 avec la légende fournie, label contenu IA activé.</t>
  </si>
  <si>
    <t xml:space="preserve">B09</t>
  </si>
  <si>
    <t xml:space="preserve">Jupiter, l'ogre du Système solaire</t>
  </si>
  <si>
    <t xml:space="preserve">Jupiter est si grosse qu'on pourrait y faire entrer environ 1 300 Terres. Elle est plus de deux fois plus massive que toutes les autres planètes réunies. Sa Grande Tache rouge ? Une tempête plus large que la Terre, observée depuis plus de 150 ans. Elle rétrécit, mais reste gigantesque. Et Jupiter joue un rôle de garde du corps : sa gravité dévie ou capture de nombreuses comètes. En 1994, la comète Shoemaker-Levy 9 s'est écrasée dessus en plusieurs morceaux. Les cicatrices étaient plus grandes que la Terre.</t>
  </si>
  <si>
    <t xml:space="preserve">Cinematic photorealistic space visualization, NASA/ESA documentary style, dramatic volumetric lighting, deep blacks, rich fine detail, vertical 9:16 composition, main subject in the upper two thirds, no text, no letters, no watermark, no logo. Scene: Jupiter close-up with swirling bands</t>
  </si>
  <si>
    <t xml:space="preserve">Cinematic photorealistic space visualization, NASA/ESA documentary style, dramatic volumetric lighting, deep blacks, rich fine detail, vertical 9:16 composition, main subject in the upper two thirds, no text, no letters, no watermark, no logo. Scene: Earths packed inside Jupiter outline</t>
  </si>
  <si>
    <t xml:space="preserve">Cinematic photorealistic space visualization, NASA/ESA documentary style, dramatic volumetric lighting, deep blacks, rich fine detail, vertical 9:16 composition, main subject in the upper two thirds, no text, no letters, no watermark, no logo. Scene: Great Red Spot storm with Earth for scale</t>
  </si>
  <si>
    <t xml:space="preserve">Cinematic photorealistic space visualization, NASA/ESA documentary style, dramatic volumetric lighting, deep blacks, rich fine detail, vertical 9:16 composition, main subject in the upper two thirds, no text, no letters, no watermark, no logo. Scene: Comet being deflected by Jupiter's gravity</t>
  </si>
  <si>
    <t xml:space="preserve">Cinematic photorealistic space visualization, NASA/ESA documentary style, dramatic volumetric lighting, deep blacks, rich fine detail, vertical 9:16 composition, main subject in the upper two thirds, no text, no letters, no watermark, no logo. Scene: Comet fragments in a line approaching Jupiter</t>
  </si>
  <si>
    <t xml:space="preserve">Cinematic photorealistic space visualization, NASA/ESA documentary style, dramatic volumetric lighting, deep blacks, rich fine detail, vertical 9:16 composition, main subject in the upper two thirds, no text, no letters, no watermark, no logo. Scene: Dark impact scars on Jupiter's clouds</t>
  </si>
  <si>
    <t xml:space="preserve">rumble, deep_boom</t>
  </si>
  <si>
    <t xml:space="preserve">Jupiter, l'ogre du Système solaire 🌌
Tu savais que Jupiter nous protégeait ?
#espace #univers #astronomie #science #vertige #shorts</t>
  </si>
  <si>
    <t xml:space="preserve">Produis la vidéo B09 « Jupiter, l'ogre du Système solaire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deep_boom + musique « epic » depuis la banque (-18 dB sous la voix, ducking). 6) Remotion : composition SpaceShort 1080×1920 30 fps, scènes calées sur les phrases, Ken Burns + parallaxe, sous-titres karaoké. 7) Contrôle qualité puis programmation BrightBean le J17 à 12:30 avec la légende fournie, label contenu IA activé.</t>
  </si>
  <si>
    <t xml:space="preserve">C09</t>
  </si>
  <si>
    <t xml:space="preserve">Pourquoi Pluton n'est plus une planète</t>
  </si>
  <si>
    <t xml:space="preserve">En 2006, Pluton perd son statut de planète. Pourquoi ? L'Union astronomique internationale fixe trois critères : tourner autour du Soleil, être assez massif pour être rond, et avoir fait le ménage autour de son orbite. Pluton échoue au troisième : elle partage sa zone avec plein d'autres objets de la ceinture de Kuiper. La voilà planète naine. Mais en 2015, la sonde New Horizons la survole et révèle un monde fascinant : montagnes de glace, glaciers d'azote... et un immense cœur blanc.</t>
  </si>
  <si>
    <t xml:space="preserve">Cinematic photorealistic space visualization, NASA/ESA documentary style, dramatic volumetric lighting, deep blacks, rich fine detail, vertical 9:16 composition, main subject in the upper two thirds, no text, no letters, no watermark, no logo. Scene: Pluto with its heart-shaped Tombaugh Regio</t>
  </si>
  <si>
    <t xml:space="preserve">Cinematic photorealistic space visualization, NASA/ESA documentary style, dramatic volumetric lighting, deep blacks, rich fine detail, vertical 9:16 composition, main subject in the upper two thirds, no text, no letters, no watermark, no logo. Scene: Planet badge crossed out, 2006 vote concept</t>
  </si>
  <si>
    <t xml:space="preserve">Cinematic photorealistic space visualization, NASA/ESA documentary style, dramatic volumetric lighting, deep blacks, rich fine detail, vertical 9:16 composition, main subject in the upper two thirds, no text, no letters, no watermark, no logo. Scene: Kuiper belt crowded with icy bodies</t>
  </si>
  <si>
    <t xml:space="preserve">Cinematic photorealistic space visualization, NASA/ESA documentary style, dramatic volumetric lighting, deep blacks, rich fine detail, vertical 9:16 composition, main subject in the upper two thirds, no text, no letters, no watermark, no logo. Scene: Dwarf planet label next to Pluto</t>
  </si>
  <si>
    <t xml:space="preserve">Cinematic photorealistic space visualization, NASA/ESA documentary style, dramatic volumetric lighting, deep blacks, rich fine detail, vertical 9:16 composition, main subject in the upper two thirds, no text, no letters, no watermark, no logo. Scene: New Horizons flying past Pluto</t>
  </si>
  <si>
    <t xml:space="preserve">Cinematic photorealistic space visualization, NASA/ESA documentary style, dramatic volumetric lighting, deep blacks, rich fine detail, vertical 9:16 composition, main subject in the upper two thirds, no text, no letters, no watermark, no logo. Scene: Nitrogen ice glaciers and mountains on Pluto</t>
  </si>
  <si>
    <t xml:space="preserve">Pourquoi Pluton n'est plus une planète 🌌
Team Pluton planète ou planète naine ?
#espace #planetes #systemesolaire #astronomie #science #shorts</t>
  </si>
  <si>
    <t xml:space="preserve">Produis la vidéo C09 « Pourquoi Pluton n'est plus une planète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calm » depuis la banque (-18 dB sous la voix, ducking). 6) Remotion : composition SpaceShort 1080×1920 30 fps, scènes calées sur les phrases, Ken Burns + parallaxe, sous-titres karaoké. 7) Contrôle qualité puis programmation BrightBean le J17 à 19:00 avec la légende fournie, label contenu IA activé.</t>
  </si>
  <si>
    <t xml:space="preserve">D09</t>
  </si>
  <si>
    <t xml:space="preserve">Les magnétars, les aimants de l'extrême</t>
  </si>
  <si>
    <t xml:space="preserve">Un magnétar est une étoile à neutrons avec un champ magnétique monstrueux. Environ un million de milliards de fois celui de la Terre. Même placé à mi-chemin entre la Terre et la Lune, il effacerait les bandes magnétiques de toutes nos cartes bancaires. De plus près, il déformerait les atomes de ton corps. En 2004, un magnétar situé à des dizaines de milliers d'années-lumière a émis un sursaut si puissant qu'il a perturbé l'ionosphère terrestre. Depuis l'autre bout de la galaxie.</t>
  </si>
  <si>
    <t xml:space="preserve">Cinematic photorealistic space visualization, NASA/ESA documentary style, dramatic volumetric lighting, deep blacks, rich fine detail, vertical 9:16 composition, main subject in the upper two thirds, no text, no letters, no watermark, no logo. Scene: Magnetar with intense twisted magnetic field lines</t>
  </si>
  <si>
    <t xml:space="preserve">Cinematic photorealistic space visualization, NASA/ESA documentary style, dramatic volumetric lighting, deep blacks, rich fine detail, vertical 9:16 composition, main subject in the upper two thirds, no text, no letters, no watermark, no logo. Scene: Magnetic field scale comparison with Earth</t>
  </si>
  <si>
    <t xml:space="preserve">Cinematic photorealistic space visualization, NASA/ESA documentary style, dramatic volumetric lighting, deep blacks, rich fine detail, vertical 9:16 composition, main subject in the upper two thirds, no text, no letters, no watermark, no logo. Scene: Credit card glitching near a magnetar, whimsical</t>
  </si>
  <si>
    <t xml:space="preserve">Cinematic photorealistic space visualization, NASA/ESA documentary style, dramatic volumetric lighting, deep blacks, rich fine detail, vertical 9:16 composition, main subject in the upper two thirds, no text, no letters, no watermark, no logo. Scene: Atoms stretched into needles, abstract</t>
  </si>
  <si>
    <t xml:space="preserve">Cinematic photorealistic space visualization, NASA/ESA documentary style, dramatic volumetric lighting, deep blacks, rich fine detail, vertical 9:16 composition, main subject in the upper two thirds, no text, no letters, no watermark, no logo. Scene: Gamma-ray flare bursting from a magnetar</t>
  </si>
  <si>
    <t xml:space="preserve">Cinematic photorealistic space visualization, NASA/ESA documentary style, dramatic volumetric lighting, deep blacks, rich fine detail, vertical 9:16 composition, main subject in the upper two thirds, no text, no letters, no watermark, no logo. Scene: Earth's upper atmosphere glowing from a distant flare</t>
  </si>
  <si>
    <t xml:space="preserve">static, deep_boom</t>
  </si>
  <si>
    <t xml:space="preserve">Les magnétars, les aimants de l'extrême 🌌
Tu savais que ça existait ?
#espace #trounoir #etoiles #astrophysique #science #shorts</t>
  </si>
  <si>
    <t xml:space="preserve">Produis la vidéo D09 « Les magnétars, les aimants de l'extrême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static, deep_boom + musique « tension » depuis la banque (-18 dB sous la voix, ducking). 6) Remotion : composition SpaceShort 1080×1920 30 fps, scènes calées sur les phrases, Ken Burns + parallaxe, sous-titres karaoké. 7) Contrôle qualité puis programmation BrightBean le J18 à 08:00 avec la légende fournie, label contenu IA activé.</t>
  </si>
  <si>
    <t xml:space="preserve">E09</t>
  </si>
  <si>
    <t xml:space="preserve">James Webb, le télescope origami</t>
  </si>
  <si>
    <t xml:space="preserve">Le télescope James Webb a décollé le 25 décembre 2021. Trop grand pour une fusée, il a été plié comme un origami, puis déplié dans l'espace. Des centaines d'étapes où tout pouvait rater. Son miroir de 6,5 mètres est fait de 18 segments hexagonaux recouverts d'or. Son pare-soleil a la taille d'un court de tennis. Il observe depuis 1,5 million de kilomètres de la Terre, dans l'infrarouge. Objectif : voir les premières galaxies, et analyser l'atmosphère d'exoplanètes.</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</si>
  <si>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James Webb Space Telescope unfolded with golden mirror</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</si>
  <si>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Rocket fairing with a folded telescope inside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</si>
  <si>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Sunshield layers unfolding in space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</si>
  <si>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Close-up of gold hexagonal mirror segments</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</si>
  <si>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Tennis court scale comparison with the sunshield</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</si>
  <si>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Deep field galaxies in infrared colors</t>
  </si>
  <si>
    <t xml:space="preserve">launch, chime</t>
  </si>
  <si>
    <t xml:space="preserve">James Webb, le télescope origami 🌌
Tu as vu ses premières images ?
#espace #histoire #conquetespatiale #nasa #science #shorts</t>
  </si>
  <si>
    <t xml:space="preserve">Produis la vidéo E09 « James Webb, le télescope origami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launch, chime + musique « epic » depuis la banque (-18 dB sous la voix, ducking). 6) Remotion : composition SpaceShort 1080×1920 30 fps, scènes calées sur les phrases, Ken Burns + parallaxe, sous-titres karaoké. 7) Contrôle qualité puis programmation BrightBean le J18 à 12:30 avec la légende fournie, label contenu IA activé.</t>
  </si>
  <si>
    <t xml:space="preserve">F09</t>
  </si>
  <si>
    <t xml:space="preserve">Les trous noirs n'aspirent pas tout</t>
  </si>
  <si>
    <t xml:space="preserve">Les trous noirs aspirent tout comme des aspirateurs cosmiques ? Faux. De loin, un trou noir attire exactement comme n'importe quel objet de même masse. Si le Soleil était remplacé par un trou noir de même masse, la Terre continuerait sa route sur la même orbite. Il ferait juste noir et très froid. Le danger n'existe que si tu t'approches très près. C'est pour ça que des étoiles tournent tranquillement autour du trou noir central de notre galaxie depuis des millions d'années.</t>
  </si>
  <si>
    <t xml:space="preserve">Cinematic photorealistic space visualization, NASA/ESA documentary style, dramatic volumetric lighting, deep blacks, rich fine detail, vertical 9:16 composition, main subject in the upper two thirds, no text, no letters, no watermark, no logo. Scene: Black hole as a vacuum cleaner, crossed-out myth concept</t>
  </si>
  <si>
    <t xml:space="preserve">Cinematic photorealistic space visualization, NASA/ESA documentary style, dramatic volumetric lighting, deep blacks, rich fine detail, vertical 9:16 composition, main subject in the upper two thirds, no text, no letters, no watermark, no logo. Scene: Sun replaced by a black hole, Earth on same orbit</t>
  </si>
  <si>
    <t xml:space="preserve">Cinematic photorealistic space visualization, NASA/ESA documentary style, dramatic volumetric lighting, deep blacks, rich fine detail, vertical 9:16 composition, main subject in the upper two thirds, no text, no letters, no watermark, no logo. Scene: Dark cold Earth orbiting a black hole</t>
  </si>
  <si>
    <t xml:space="preserve">Cinematic photorealistic space visualization, NASA/ESA documentary style, dramatic volumetric lighting, deep blacks, rich fine detail, vertical 9:16 composition, main subject in the upper two thirds, no text, no letters, no watermark, no logo. Scene: Stars orbiting calmly around a black hole</t>
  </si>
  <si>
    <t xml:space="preserve">Cinematic photorealistic space visualization, NASA/ESA documentary style, dramatic volumetric lighting, deep blacks, rich fine detail, vertical 9:16 composition, main subject in the upper two thirds, no text, no letters, no watermark, no logo. Scene: Danger zone circle near the event horizon</t>
  </si>
  <si>
    <t xml:space="preserve">Cinematic photorealistic space visualization, NASA/ESA documentary style, dramatic volumetric lighting, deep blacks, rich fine detail, vertical 9:16 composition, main subject in the upper two thirds, no text, no letters, no watermark, no logo. Scene: Galactic center stars in stable orbits</t>
  </si>
  <si>
    <t xml:space="preserve">Les trous noirs n'aspirent pas tout 🌌
Tu les voyais comme des aspirateurs ?
#espace #idéesreçues #science #astronomie #lesavaistu #shorts</t>
  </si>
  <si>
    <t xml:space="preserve">Produis la vidéo F09 « Les trous noirs n'aspirent pas tout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deep_boom + musique « mystery » depuis la banque (-18 dB sous la voix, ducking). 6) Remotion : composition SpaceShort 1080×1920 30 fps, scènes calées sur les phrases, Ken Burns + parallaxe, sous-titres karaoké. 7) Contrôle qualité puis programmation BrightBean le J18 à 19:00 avec la légende fournie, label contenu IA activé.</t>
  </si>
  <si>
    <t xml:space="preserve">A10</t>
  </si>
  <si>
    <t xml:space="preserve">Et si la Terre était deux fois plus grosse ?</t>
  </si>
  <si>
    <t xml:space="preserve">Si la Terre avait deux fois son diamètre, avec les mêmes roches, la gravité serait deux fois plus forte. Tu pèserais le double. Monter un escalier deviendrait épuisant. Les montagnes seraient plus basses, écrasées par leur propre poids. L'atmosphère serait plus dense. Les animaux plus trapus. Et l'espace ? Beaucoup plus difficile d'accès : il faudrait des fusées énormes pour s'échapper. Certaines exoplanètes, les super-Terres, sont justement comme ça. Leurs habitants, s'ils existent, resteraient peut-être coincés chez eux.</t>
  </si>
  <si>
    <t xml:space="preserve">Cinematic photorealistic space visualization, NASA/ESA documentary style, dramatic volumetric lighting, deep blacks, rich fine detail, vertical 9:16 composition, main subject in the upper two thirds, no text, no letters, no watermark, no logo. Scene: Two Earths side by side, one twice as large</t>
  </si>
  <si>
    <t xml:space="preserve">Cinematic photorealistic space visualization, NASA/ESA documentary style, dramatic volumetric lighting, deep blacks, rich fine detail, vertical 9:16 composition, main subject in the upper two thirds, no text, no letters, no watermark, no logo. Scene: Person struggling up stairs under heavy gravity, stylized</t>
  </si>
  <si>
    <t xml:space="preserve">Cinematic photorealistic space visualization, NASA/ESA documentary style, dramatic volumetric lighting, deep blacks, rich fine detail, vertical 9:16 composition, main subject in the upper two thirds, no text, no letters, no watermark, no logo. Scene: Low flattened mountain ranges under thick sky</t>
  </si>
  <si>
    <t xml:space="preserve">Cinematic photorealistic space visualization, NASA/ESA documentary style, dramatic volumetric lighting, deep blacks, rich fine detail, vertical 9:16 composition, main subject in the upper two thirds, no text, no letters, no watermark, no logo. Scene: Stocky alien animals on a dense planet, illustrative</t>
  </si>
  <si>
    <t xml:space="preserve">Cinematic photorealistic space visualization, NASA/ESA documentary style, dramatic volumetric lighting, deep blacks, rich fine detail, vertical 9:16 composition, main subject in the upper two thirds, no text, no letters, no watermark, no logo. Scene: Massive rocket straining to lift off</t>
  </si>
  <si>
    <t xml:space="preserve">Cinematic photorealistic space visualization, NASA/ESA documentary style, dramatic volumetric lighting, deep blacks, rich fine detail, vertical 9:16 composition, main subject in the upper two thirds, no text, no letters, no watermark, no logo. Scene: Super-Earth exoplanet orbiting a distant star</t>
  </si>
  <si>
    <t xml:space="preserve">rumble, launch</t>
  </si>
  <si>
    <t xml:space="preserve">Et si la Terre était deux fois plus grosse ? 🌌
Tu te sentirais comment avec 2 fois ton poids ?
#espace #etsi #science #univers #astronomie #shorts</t>
  </si>
  <si>
    <t xml:space="preserve">Produis la vidéo A10 « Et si la Terre était deux fois plus grosse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launch + musique « epic » depuis la banque (-18 dB sous la voix, ducking). 6) Remotion : composition SpaceShort 1080×1920 30 fps, scènes calées sur les phrases, Ken Burns + parallaxe, sous-titres karaoké. 7) Contrôle qualité puis programmation BrightBean le J19 à 08:00 avec la légende fournie, label contenu IA activé.</t>
  </si>
  <si>
    <t xml:space="preserve">B10</t>
  </si>
  <si>
    <t xml:space="preserve">Olympus Mons, le volcan géant de Mars</t>
  </si>
  <si>
    <t xml:space="preserve">Le plus haut volcan du Système solaire n'est pas sur Terre. C'est Olympus Mons, sur Mars. Environ 22 kilomètres de haut, plus de deux fois et demie l'Everest. Sa base mesure environ 600 kilomètres : une surface comparable à l'Italie. Ses pentes sont si douces que depuis son sommet, tu ne verrais même pas que tu es sur une montagne. L'horizon martien la cacherait. Comment il est devenu si grand ? Sur Mars, pas de tectonique des plaques. La lave a coulé au même endroit pendant des centaines de millions d'années.</t>
  </si>
  <si>
    <t xml:space="preserve">Cinematic photorealistic space visualization, NASA/ESA documentary style, dramatic volumetric lighting, deep blacks, rich fine detail, vertical 9:16 composition, main subject in the upper two thirds, no text, no letters, no watermark, no logo. Scene: Olympus Mons towering above Martian plains</t>
  </si>
  <si>
    <t xml:space="preserve">Cinematic photorealistic space visualization, NASA/ESA documentary style, dramatic volumetric lighting, deep blacks, rich fine detail, vertical 9:16 composition, main subject in the upper two thirds, no text, no letters, no watermark, no logo. Scene: Everest beside Olympus Mons scale comparison</t>
  </si>
  <si>
    <t xml:space="preserve">Cinematic photorealistic space visualization, NASA/ESA documentary style, dramatic volumetric lighting, deep blacks, rich fine detail, vertical 9:16 composition, main subject in the upper two thirds, no text, no letters, no watermark, no logo. Scene: Olympus Mons base overlaid on a map of Italy</t>
  </si>
  <si>
    <t xml:space="preserve">Cinematic photorealistic space visualization, NASA/ESA documentary style, dramatic volumetric lighting, deep blacks, rich fine detail, vertical 9:16 composition, main subject in the upper two thirds, no text, no letters, no watermark, no logo. Scene: Astronaut on a gentle Martian slope, horizon curving</t>
  </si>
  <si>
    <t xml:space="preserve">Cinematic photorealistic space visualization, NASA/ESA documentary style, dramatic volumetric lighting, deep blacks, rich fine detail, vertical 9:16 composition, main subject in the upper two thirds, no text, no letters, no watermark, no logo. Scene: Summit caldera of Olympus Mons from above</t>
  </si>
  <si>
    <t xml:space="preserve">Cinematic photorealistic space visualization, NASA/ESA documentary style, dramatic volumetric lighting, deep blacks, rich fine detail, vertical 9:16 composition, main subject in the upper two thirds, no text, no letters, no watermark, no logo. Scene: Ancient lava flows on Mars</t>
  </si>
  <si>
    <t xml:space="preserve">wind, rumble</t>
  </si>
  <si>
    <t xml:space="preserve">Olympus Mons, le volcan géant de Mars 🌌
2,5 Everest... tu grimperais ?
#espace #univers #astronomie #science #vertige #shorts</t>
  </si>
  <si>
    <t xml:space="preserve">Produis la vidéo B10 « Olympus Mons, le volcan géant de Mars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wind, rumble + musique « epic » depuis la banque (-18 dB sous la voix, ducking). 6) Remotion : composition SpaceShort 1080×1920 30 fps, scènes calées sur les phrases, Ken Burns + parallaxe, sous-titres karaoké. 7) Contrôle qualité puis programmation BrightBean le J19 à 12:30 avec la légende fournie, label contenu IA activé.</t>
  </si>
  <si>
    <t xml:space="preserve">C10</t>
  </si>
  <si>
    <t xml:space="preserve">Io, la lune la plus volcanique</t>
  </si>
  <si>
    <t xml:space="preserve">Io, une lune de Jupiter, est l'objet le plus volcanique connu. Plus de 400 volcans actifs. Certains projettent des panaches jusqu'à des centaines de kilomètres de haut. D'où vient toute cette énergie ? De Jupiter. Sa gravité, combinée à celle des autres lunes, pétrit Io en permanence, comme une balle anti-stress. Ce frottement interne fait fondre la roche. Sa surface est sans cesse recouverte de lave et de soufre, ce qui lui donne ces couleurs jaunes, orange et rouges.</t>
  </si>
  <si>
    <t xml:space="preserve">Cinematic photorealistic space visualization, NASA/ESA documentary style, dramatic volumetric lighting, deep blacks, rich fine detail, vertical 9:16 composition, main subject in the upper two thirds, no text, no letters, no watermark, no logo. Scene: Io yellow and orange moon with Jupiter behind</t>
  </si>
  <si>
    <t xml:space="preserve">Cinematic photorealistic space visualization, NASA/ESA documentary style, dramatic volumetric lighting, deep blacks, rich fine detail, vertical 9:16 composition, main subject in the upper two thirds, no text, no letters, no watermark, no logo. Scene: Volcanic plume rising high above Io</t>
  </si>
  <si>
    <t xml:space="preserve">Cinematic photorealistic space visualization, NASA/ESA documentary style, dramatic volumetric lighting, deep blacks, rich fine detail, vertical 9:16 composition, main subject in the upper two thirds, no text, no letters, no watermark, no logo. Scene: Tidal forces squeezing Io, visual concept</t>
  </si>
  <si>
    <t xml:space="preserve">Cinematic photorealistic space visualization, NASA/ESA documentary style, dramatic volumetric lighting, deep blacks, rich fine detail, vertical 9:16 composition, main subject in the upper two thirds, no text, no letters, no watermark, no logo. Scene: Lava lakes glowing on Io's surface</t>
  </si>
  <si>
    <t xml:space="preserve">Cinematic photorealistic space visualization, NASA/ESA documentary style, dramatic volumetric lighting, deep blacks, rich fine detail, vertical 9:16 composition, main subject in the upper two thirds, no text, no letters, no watermark, no logo. Scene: Sulfur deposits in yellow and red patterns</t>
  </si>
  <si>
    <t xml:space="preserve">Cinematic photorealistic space visualization, NASA/ESA documentary style, dramatic volumetric lighting, deep blacks, rich fine detail, vertical 9:16 composition, main subject in the upper two thirds, no text, no letters, no watermark, no logo. Scene: Io and Jupiter wide shot</t>
  </si>
  <si>
    <t xml:space="preserve">rumble, crackle, deep_boom</t>
  </si>
  <si>
    <t xml:space="preserve">Io, la lune la plus volcanique 🌌
400 volcans actifs, tu t'y attendais ?
#espace #planetes #systemesolaire #astronomie #science #shorts</t>
  </si>
  <si>
    <t xml:space="preserve">Produis la vidéo C10 « Io, la lune la plus volcanique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crackle, deep_boom + musique « tension » depuis la banque (-18 dB sous la voix, ducking). 6) Remotion : composition SpaceShort 1080×1920 30 fps, scènes calées sur les phrases, Ken Burns + parallaxe, sous-titres karaoké. 7) Contrôle qualité puis programmation BrightBean le J19 à 19:00 avec la légende fournie, label contenu IA activé.</t>
  </si>
  <si>
    <t xml:space="preserve">D10</t>
  </si>
  <si>
    <t xml:space="preserve">La supernova de 1054</t>
  </si>
  <si>
    <t xml:space="preserve">En 1054, des astronomes chinois notent l'apparition d'une étoile invitée dans le ciel. Si brillante qu'elle est visible en plein jour pendant 23 jours. Ce qu'ils voyaient, c'était une supernova : l'explosion d'une étoile massive, à plus de 6 000 années-lumière. Aujourd'hui, à cet endroit précis, on observe la nébuleuse du Crabe. Un nuage de débris qui s'étend encore. Et en son centre, un pulsar qui tourne environ 30 fois par seconde. Le cadavre de l'étoile, toujours actif presque mille ans après.</t>
  </si>
  <si>
    <t xml:space="preserve">Cinematic photorealistic space visualization, NASA/ESA documentary style, dramatic volumetric lighting, deep blacks, rich fine detail, vertical 9:16 composition, main subject in the upper two thirds, no text, no letters, no watermark, no logo. Scene: Ancient Chinese astronomers observing a bright star, painterly</t>
  </si>
  <si>
    <t xml:space="preserve">Cinematic photorealistic space visualization, NASA/ESA documentary style, dramatic volumetric lighting, deep blacks, rich fine detail, vertical 9:16 composition, main subject in the upper two thirds, no text, no letters, no watermark, no logo. Scene: Daytime sky with a bright new star</t>
  </si>
  <si>
    <t xml:space="preserve">Cinematic photorealistic space visualization, NASA/ESA documentary style, dramatic volumetric lighting, deep blacks, rich fine detail, vertical 9:16 composition, main subject in the upper two thirds, no text, no letters, no watermark, no logo. Scene: Supernova explosion</t>
  </si>
  <si>
    <t xml:space="preserve">Cinematic photorealistic space visualization, NASA/ESA documentary style, dramatic volumetric lighting, deep blacks, rich fine detail, vertical 9:16 composition, main subject in the upper two thirds, no text, no letters, no watermark, no logo. Scene: Crab Nebula colorful filaments</t>
  </si>
  <si>
    <t xml:space="preserve">Cinematic photorealistic space visualization, NASA/ESA documentary style, dramatic volumetric lighting, deep blacks, rich fine detail, vertical 9:16 composition, main subject in the upper two thirds, no text, no letters, no watermark, no logo. Scene: Pulsar at the heart of the Crab Nebula</t>
  </si>
  <si>
    <t xml:space="preserve">Cinematic photorealistic space visualization, NASA/ESA documentary style, dramatic volumetric lighting, deep blacks, rich fine detail, vertical 9:16 composition, main subject in the upper two thirds, no text, no letters, no watermark, no logo. Scene: Ancient scroll with star notes</t>
  </si>
  <si>
    <t xml:space="preserve">deep_boom, chime</t>
  </si>
  <si>
    <t xml:space="preserve">La supernova de 1054 🌌
Une étoile en plein jour, tu imagines ?
#espace #trounoir #etoiles #astrophysique #science #shorts</t>
  </si>
  <si>
    <t xml:space="preserve">Produis la vidéo D10 « La supernova de 1054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deep_boom, chime + musique « retro » depuis la banque (-18 dB sous la voix, ducking). 6) Remotion : composition SpaceShort 1080×1920 30 fps, scènes calées sur les phrases, Ken Burns + parallaxe, sous-titres karaoké. 7) Contrôle qualité puis programmation BrightBean le J20 à 08:00 avec la légende fournie, label contenu IA activé.</t>
  </si>
  <si>
    <t xml:space="preserve">E10</t>
  </si>
  <si>
    <t xml:space="preserve">Valentina Terechkova, première femme dans l'espace</t>
  </si>
  <si>
    <t xml:space="preserve">16 juin 1963. Valentina Terechkova devient la première femme dans l'espace. Elle a 26 ans, elle est ancienne ouvrière du textile et parachutiste amatrice. Elle passe près de trois jours en orbite et fait 48 fois le tour de la Terre. Plus que tous les astronautes américains de l'époque réunis. Son indicatif radio : 'Tchaïka', la mouette. Il faudra attendre presque 20 ans pour qu'une deuxième femme aille dans l'espace. Terechkova reste la seule femme à avoir volé seule en mission spatiale.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</si>
  <si>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Female cosmonaut in 1960s spacesuit, heroic portrait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</si>
  <si>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Textile factory 1950s, retro</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</si>
  <si>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Parachutist in the sky, vintage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</si>
  <si>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Vostok capsule orbiting Earth</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</si>
  <si>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Seagull flying against starry sky</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</si>
  <si>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Earth orbits drawn as 48 loops</t>
  </si>
  <si>
    <t xml:space="preserve">launch, beep</t>
  </si>
  <si>
    <t xml:space="preserve">Valentina Terechkova, première femme dans l'espace 🌌
Tu connaissais son nom ?
#espace #histoire #conquetespatiale #nasa #science #shorts</t>
  </si>
  <si>
    <t xml:space="preserve">Produis la vidéo E10 « Valentina Terechkova, première femme dans l'espace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launch, beep + musique « retro » depuis la banque (-18 dB sous la voix, ducking). 6) Remotion : composition SpaceShort 1080×1920 30 fps, scènes calées sur les phrases, Ken Burns + parallaxe, sous-titres karaoké. 7) Contrôle qualité puis programmation BrightBean le J20 à 12:30 avec la légende fournie, label contenu IA activé.</t>
  </si>
  <si>
    <t xml:space="preserve">F10</t>
  </si>
  <si>
    <t xml:space="preserve">Les photos de l'espace sont-elles fausses ?</t>
  </si>
  <si>
    <t xml:space="preserve">Les magnifiques images du télescope James Webb sont-elles en vraies couleurs ? Non. Et ce n'est pas de la triche. Webb observe dans l'infrarouge, une lumière invisible pour nos yeux. Les scientifiques attribuent alors des couleurs visibles aux différentes longueurs d'onde : les plus courtes en bleu, les plus longues en rouge. Comme traduire une langue qu'on ne parle pas. Sans ça, l'image serait tout simplement invisible. Les couleurs ne sont pas inventées : elles codent de vraies informations.</t>
  </si>
  <si>
    <t xml:space="preserve">Cinematic photorealistic space visualization, NASA/ESA documentary style, dramatic volumetric lighting, deep blacks, rich fine detail, vertical 9:16 composition, main subject in the upper two thirds, no text, no letters, no watermark, no logo. Scene: Colorful nebula image from an infrared telescope</t>
  </si>
  <si>
    <t xml:space="preserve">Cinematic photorealistic space visualization, NASA/ESA documentary style, dramatic volumetric lighting, deep blacks, rich fine detail, vertical 9:16 composition, main subject in the upper two thirds, no text, no letters, no watermark, no logo. Scene: Infrared light invisible to human eye, concept</t>
  </si>
  <si>
    <t xml:space="preserve">Cinematic photorealistic space visualization, NASA/ESA documentary style, dramatic volumetric lighting, deep blacks, rich fine detail, vertical 9:16 composition, main subject in the upper two thirds, no text, no letters, no watermark, no logo. Scene: Grayscale filters combining into color</t>
  </si>
  <si>
    <t xml:space="preserve">Cinematic photorealistic space visualization, NASA/ESA documentary style, dramatic volumetric lighting, deep blacks, rich fine detail, vertical 9:16 composition, main subject in the upper two thirds, no text, no letters, no watermark, no logo. Scene: Wavelength scale mapped from blue to red</t>
  </si>
  <si>
    <t xml:space="preserve">Cinematic photorealistic space visualization, NASA/ESA documentary style, dramatic volumetric lighting, deep blacks, rich fine detail, vertical 9:16 composition, main subject in the upper two thirds, no text, no letters, no watermark, no logo. Scene: Translator metaphor: invisible light into color</t>
  </si>
  <si>
    <t xml:space="preserve">Cinematic photorealistic space visualization, NASA/ESA documentary style, dramatic volumetric lighting, deep blacks, rich fine detail, vertical 9:16 composition, main subject in the upper two thirds, no text, no letters, no watermark, no logo. Scene: Final vibrant cosmic cliffs image</t>
  </si>
  <si>
    <t xml:space="preserve">Les photos de l'espace sont-elles fausses ? 🌌
Tu pensais que c'était des vraies couleurs ?
#espace #idéesreçues #science #astronomie #lesavaistu #shorts</t>
  </si>
  <si>
    <t xml:space="preserve">Produis la vidéo F10 « Les photos de l'espace sont-elles fausses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whoosh + musique « wonder » depuis la banque (-18 dB sous la voix, ducking). 6) Remotion : composition SpaceShort 1080×1920 30 fps, scènes calées sur les phrases, Ken Burns + parallaxe, sous-titres karaoké. 7) Contrôle qualité puis programmation BrightBean le J20 à 19:00 avec la légende fournie, label contenu IA activé.</t>
  </si>
  <si>
    <t xml:space="preserve">A11</t>
  </si>
  <si>
    <t xml:space="preserve">Et si tu voyageais à la vitesse de la lumière ?</t>
  </si>
  <si>
    <t xml:space="preserve">Mauvaise nouvelle : avec une masse, impossible d'atteindre la vitesse de la lumière. Mais tu peux t'en approcher. Et là, le temps se déforme. À 99,99 % de cette vitesse, une minute pour toi correspond à plus d'une heure sur Terre. Tu pars visiter Proxima du Centaure, l'étoile la plus proche. Vu de la Terre, ton voyage prend un peu plus de quatre ans. Pour toi, quelques semaines. Tu reviens, tes amis ont vieilli de plus de huit ans. Ce n'est pas de la science-fiction : c'est la relativité, vérifiée chaque jour par les satellites GPS.</t>
  </si>
  <si>
    <t xml:space="preserve">Cinematic photorealistic space visualization, NASA/ESA documentary style, dramatic volumetric lighting, deep blacks, rich fine detail, vertical 9:16 composition, main subject in the upper two thirds, no text, no letters, no watermark, no logo. Scene: Spaceship streaking forward with stars stretched into lines</t>
  </si>
  <si>
    <t xml:space="preserve">Cinematic photorealistic space visualization, NASA/ESA documentary style, dramatic volumetric lighting, deep blacks, rich fine detail, vertical 9:16 composition, main subject in the upper two thirds, no text, no letters, no watermark, no logo. Scene: Clock melting into starlight, time dilation concept</t>
  </si>
  <si>
    <t xml:space="preserve">Cinematic photorealistic space visualization, NASA/ESA documentary style, dramatic volumetric lighting, deep blacks, rich fine detail, vertical 9:16 composition, main subject in the upper two thirds, no text, no letters, no watermark, no logo. Scene: Proxima Centauri red star with a planet</t>
  </si>
  <si>
    <t xml:space="preserve">Cinematic photorealistic space visualization, NASA/ESA documentary style, dramatic volumetric lighting, deep blacks, rich fine detail, vertical 9:16 composition, main subject in the upper two thirds, no text, no letters, no watermark, no logo. Scene: Astronaut in cockpit calm, stars blueshifted ahead</t>
  </si>
  <si>
    <t xml:space="preserve">Cinematic photorealistic space visualization, NASA/ESA documentary style, dramatic volumetric lighting, deep blacks, rich fine detail, vertical 9:16 composition, main subject in the upper two thirds, no text, no letters, no watermark, no logo. Scene: Friends aging on Earth, split composition</t>
  </si>
  <si>
    <t xml:space="preserve">Cinematic photorealistic space visualization, NASA/ESA documentary style, dramatic volumetric lighting, deep blacks, rich fine detail, vertical 9:16 composition, main subject in the upper two thirds, no text, no letters, no watermark, no logo. Scene: GPS satellite orbiting Earth</t>
  </si>
  <si>
    <t xml:space="preserve">Et si tu voyageais à la vitesse de la lumière ? 🌌
Tu partirais en laissant tout le monde vieillir ?
#espace #etsi #science #univers #astronomie #shorts</t>
  </si>
  <si>
    <t xml:space="preserve">Produis la vidéo A11 « Et si tu voyageais à la vitesse de la lumière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riser + musique « epic » depuis la banque (-18 dB sous la voix, ducking). 6) Remotion : composition SpaceShort 1080×1920 30 fps, scènes calées sur les phrases, Ken Burns + parallaxe, sous-titres karaoké. 7) Contrôle qualité puis programmation BrightBean le J21 à 08:00 avec la légende fournie, label contenu IA activé.</t>
  </si>
  <si>
    <t xml:space="preserve">B11</t>
  </si>
  <si>
    <t xml:space="preserve">Tu voyages à plus de 800 000 km/h</t>
  </si>
  <si>
    <t xml:space="preserve">En ce moment, tu es immobile ? Pas du tout. La Terre tourne sur elle-même : jusqu'à 1 670 km/h à l'équateur. Elle tourne autour du Soleil : environ 107 000 km/h. Le Soleil, lui, fait le tour de la galaxie à environ 830 000 km/h. Et la Voie lactée se déplace elle aussi dans l'univers. Tu ne sens rien parce que tout ça est parfaitement régulier, sans à-coups. Tu es sur le manège le plus rapide qui existe, et tu ne l'as jamais remarqué.</t>
  </si>
  <si>
    <t xml:space="preserve">Cinematic photorealistic space visualization, NASA/ESA documentary style, dramatic volumetric lighting, deep blacks, rich fine detail, vertical 9:16 composition, main subject in the upper two thirds, no text, no letters, no watermark, no logo. Scene: Person sitting on a couch, stars streaking outside window</t>
  </si>
  <si>
    <t xml:space="preserve">Cinematic photorealistic space visualization, NASA/ESA documentary style, dramatic volumetric lighting, deep blacks, rich fine detail, vertical 9:16 composition, main subject in the upper two thirds, no text, no letters, no watermark, no logo. Scene: Earth rotating with speed arrows</t>
  </si>
  <si>
    <t xml:space="preserve">Cinematic photorealistic space visualization, NASA/ESA documentary style, dramatic volumetric lighting, deep blacks, rich fine detail, vertical 9:16 composition, main subject in the upper two thirds, no text, no letters, no watermark, no logo. Scene: Earth orbiting the Sun with motion trail</t>
  </si>
  <si>
    <t xml:space="preserve">Cinematic photorealistic space visualization, NASA/ESA documentary style, dramatic volumetric lighting, deep blacks, rich fine detail, vertical 9:16 composition, main subject in the upper two thirds, no text, no letters, no watermark, no logo. Scene: Sun moving through the galaxy trailing planets in a helix</t>
  </si>
  <si>
    <t xml:space="preserve">Cinematic photorealistic space visualization, NASA/ESA documentary style, dramatic volumetric lighting, deep blacks, rich fine detail, vertical 9:16 composition, main subject in the upper two thirds, no text, no letters, no watermark, no logo. Scene: Milky Way moving through the cosmic web</t>
  </si>
  <si>
    <t xml:space="preserve">Cinematic photorealistic space visualization, NASA/ESA documentary style, dramatic volumetric lighting, deep blacks, rich fine detail, vertical 9:16 composition, main subject in the upper two thirds, no text, no letters, no watermark, no logo. Scene: Calm person, surreal cosmic speed background</t>
  </si>
  <si>
    <t xml:space="preserve">Tu voyages à plus de 800 000 km/h 🌌
Tu te sens immobile là ?
#espace #univers #astronomie #science #vertige #shorts</t>
  </si>
  <si>
    <t xml:space="preserve">Produis la vidéo B11 « Tu voyages à plus de 800 000 km/h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riser + musique « epic » depuis la banque (-18 dB sous la voix, ducking). 6) Remotion : composition SpaceShort 1080×1920 30 fps, scènes calées sur les phrases, Ken Burns + parallaxe, sous-titres karaoké. 7) Contrôle qualité puis programmation BrightBean le J21 à 12:30 avec la légende fournie, label contenu IA activé.</t>
  </si>
  <si>
    <t xml:space="preserve">C11</t>
  </si>
  <si>
    <t xml:space="preserve">Mars a eu des lacs et des rivières</t>
  </si>
  <si>
    <t xml:space="preserve">Mars n'a pas toujours été un désert. Il y a plus de trois milliards d'années, de l'eau liquide coulait à sa surface. On voit encore des lits de rivières asséchés, des deltas, d'anciens lacs. Le rover Perseverance explore depuis 2021 le cratère Jezero, un ancien lac avec un delta. Il y prélève des échantillons de roches que les scientifiques espèrent un jour rapporter sur Terre. Que s'est-il passé ? Mars a perdu son champ magnétique, puis une grande partie de son atmosphère, soufflée par le vent solaire.</t>
  </si>
  <si>
    <t xml:space="preserve">Cinematic photorealistic space visualization, NASA/ESA documentary style, dramatic volumetric lighting, deep blacks, rich fine detail, vertical 9:16 composition, main subject in the upper two thirds, no text, no letters, no watermark, no logo. Scene: Ancient Mars with rivers and lakes, blue-tinged</t>
  </si>
  <si>
    <t xml:space="preserve">Cinematic photorealistic space visualization, NASA/ESA documentary style, dramatic volumetric lighting, deep blacks, rich fine detail, vertical 9:16 composition, main subject in the upper two thirds, no text, no letters, no watermark, no logo. Scene: Dry riverbeds carved on red Martian terrain</t>
  </si>
  <si>
    <t xml:space="preserve">Cinematic photorealistic space visualization, NASA/ESA documentary style, dramatic volumetric lighting, deep blacks, rich fine detail, vertical 9:16 composition, main subject in the upper two thirds, no text, no letters, no watermark, no logo. Scene: Jezero crater delta from orbit</t>
  </si>
  <si>
    <t xml:space="preserve">Cinematic photorealistic space visualization, NASA/ESA documentary style, dramatic volumetric lighting, deep blacks, rich fine detail, vertical 9:16 composition, main subject in the upper two thirds, no text, no letters, no watermark, no logo. Scene: Perseverance rover drilling a rock</t>
  </si>
  <si>
    <t xml:space="preserve">Cinematic photorealistic space visualization, NASA/ESA documentary style, dramatic volumetric lighting, deep blacks, rich fine detail, vertical 9:16 composition, main subject in the upper two thirds, no text, no letters, no watermark, no logo. Scene: Solar wind stripping Mars atmosphere</t>
  </si>
  <si>
    <t xml:space="preserve">Cinematic photorealistic space visualization, NASA/ESA documentary style, dramatic volumetric lighting, deep blacks, rich fine detail, vertical 9:16 composition, main subject in the upper two thirds, no text, no letters, no watermark, no logo. Scene: Present-day dry red Mars</t>
  </si>
  <si>
    <t xml:space="preserve">wind, beep</t>
  </si>
  <si>
    <t xml:space="preserve">Mars a eu des lacs et des rivières 🌌
Tu crois qu'il y a eu de la vie sur Mars ?
#espace #planetes #systemesolaire #astronomie #science #shorts</t>
  </si>
  <si>
    <t xml:space="preserve">Produis la vidéo C11 « Mars a eu des lacs et des rivières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wind, beep + musique « mystery » depuis la banque (-18 dB sous la voix, ducking). 6) Remotion : composition SpaceShort 1080×1920 30 fps, scènes calées sur les phrases, Ken Burns + parallaxe, sous-titres karaoké. 7) Contrôle qualité puis programmation BrightBean le J21 à 19:00 avec la légende fournie, label contenu IA activé.</t>
  </si>
  <si>
    <t xml:space="preserve">D11</t>
  </si>
  <si>
    <t xml:space="preserve">Les naines blanches, cadavres d'étoiles</t>
  </si>
  <si>
    <t xml:space="preserve">Une naine blanche, c'est ce qui reste d'une étoile comme le Soleil après sa mort. Imagine la masse du Soleil compressée dans une sphère de la taille de la Terre. Une cuillère à café de sa matière pèserait plusieurs tonnes, le poids d'un éléphant. Elle ne produit plus d'énergie : elle refroidit, lentement, pendant des milliards d'années. Tellement lentement qu'aucune naine blanche n'a encore eu le temps de refroidir complètement. L'univers est trop jeune pour ça.</t>
  </si>
  <si>
    <t xml:space="preserve">Cinematic photorealistic space visualization, NASA/ESA documentary style, dramatic volumetric lighting, deep blacks, rich fine detail, vertical 9:16 composition, main subject in the upper two thirds, no text, no letters, no watermark, no logo. Scene: Small bright white dwarf star glowing</t>
  </si>
  <si>
    <t xml:space="preserve">Cinematic photorealistic space visualization, NASA/ESA documentary style, dramatic volumetric lighting, deep blacks, rich fine detail, vertical 9:16 composition, main subject in the upper two thirds, no text, no letters, no watermark, no logo. Scene: White dwarf next to Earth for scale</t>
  </si>
  <si>
    <t xml:space="preserve">Cinematic photorealistic space visualization, NASA/ESA documentary style, dramatic volumetric lighting, deep blacks, rich fine detail, vertical 9:16 composition, main subject in the upper two thirds, no text, no letters, no watermark, no logo. Scene: Teaspoon of star matter balanced against an elephant</t>
  </si>
  <si>
    <t xml:space="preserve">Cinematic photorealistic space visualization, NASA/ESA documentary style, dramatic volumetric lighting, deep blacks, rich fine detail, vertical 9:16 composition, main subject in the upper two thirds, no text, no letters, no watermark, no logo. Scene: Planetary nebula with white dwarf center</t>
  </si>
  <si>
    <t xml:space="preserve">Cinematic photorealistic space visualization, NASA/ESA documentary style, dramatic volumetric lighting, deep blacks, rich fine detail, vertical 9:16 composition, main subject in the upper two thirds, no text, no letters, no watermark, no logo. Scene: Dimming white dwarf over time</t>
  </si>
  <si>
    <t xml:space="preserve">Cinematic photorealistic space visualization, NASA/ESA documentary style, dramatic volumetric lighting, deep blacks, rich fine detail, vertical 9:16 composition, main subject in the upper two thirds, no text, no letters, no watermark, no logo. Scene: Dark cold star concept, black dwarf</t>
  </si>
  <si>
    <t xml:space="preserve">Les naines blanches, cadavres d'étoiles 🌌
Un éléphant dans une cuillère, ça te va comme image ?
#espace #trounoir #etoiles #astrophysique #science #shorts</t>
  </si>
  <si>
    <t xml:space="preserve">Produis la vidéo D11 « Les naines blanches, cadavres d'étoiles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whoosh + musique « calm » depuis la banque (-18 dB sous la voix, ducking). 6) Remotion : composition SpaceShort 1080×1920 30 fps, scènes calées sur les phrases, Ken Burns + parallaxe, sous-titres karaoké. 7) Contrôle qualité puis programmation BrightBean le J22 à 08:00 avec la légende fournie, label contenu IA activé.</t>
  </si>
  <si>
    <t xml:space="preserve">E11</t>
  </si>
  <si>
    <t xml:space="preserve">La première sortie dans l'espace a failli mal finir</t>
  </si>
  <si>
    <t xml:space="preserve">18 mars 1965. Alexeï Leonov sort de sa capsule : première sortie dans l'espace. Douze minutes à flotter au-dessus de la Terre. Magnifique. Puis le problème : dans le vide, sa combinaison a gonflé. Rigide, trop grande, elle ne rentre plus dans le sas. Leonov prend une décision risquée : il ouvre une valve pour faire baisser la pression de sa combinaison. Il frôle le malaise, mais parvient à rentrer, tête la première. Et ce n'était pas fini : l'atterrissage s'est fait loin du point prévu, dans une forêt enneigée de l'Oural.</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</si>
  <si>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Cosmonaut floating outside a capsule above Earth, 1965</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</si>
  <si>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Ballooned stiff spacesuit, tension</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</si>
  <si>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Narrow airlock tube barely fitting a suit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</si>
  <si>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Hand turning a pressure valve on a suit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</si>
  <si>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Capsule landed in a snowy Ural forest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</si>
  <si>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Earth horizon view with tether</t>
  </si>
  <si>
    <t xml:space="preserve">heartbeat, static, wind</t>
  </si>
  <si>
    <t xml:space="preserve">La première sortie dans l'espace a failli mal finir 🌌
Tu aurais eu le sang-froid ?
#espace #histoire #conquetespatiale #nasa #science #shorts</t>
  </si>
  <si>
    <t xml:space="preserve">Produis la vidéo E11 « La première sortie dans l'espace a failli mal finir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heartbeat, static, wind + musique « tension » depuis la banque (-18 dB sous la voix, ducking). 6) Remotion : composition SpaceShort 1080×1920 30 fps, scènes calées sur les phrases, Ken Burns + parallaxe, sous-titres karaoké. 7) Contrôle qualité puis programmation BrightBean le J22 à 12:30 avec la légende fournie, label contenu IA activé.</t>
  </si>
  <si>
    <t xml:space="preserve">F11</t>
  </si>
  <si>
    <t xml:space="preserve">On n'a jamais marché sur la Lune ? Les preuves</t>
  </si>
  <si>
    <t xml:space="preserve">Certains disent qu'on n'a jamais marché sur la Lune. Voici ce qu'on a vraiment. Des réflecteurs laser posés par Apollo, que des observatoires visent encore aujourd'hui. 382 kilos de roches lunaires, étudiées par des labos du monde entier, y compris en dehors des États-Unis. Des photos des sites d'alunissage prises depuis l'orbite lunaire, avec les traces de pas. Et le drapeau qui 'flotte' ? Il avait une tige horizontale pour le tenir déplié. Le mouvement vient des astronautes qui le plantaient.</t>
  </si>
  <si>
    <t xml:space="preserve">Cinematic photorealistic space visualization, NASA/ESA documentary style, dramatic volumetric lighting, deep blacks, rich fine detail, vertical 9:16 composition, main subject in the upper two thirds, no text, no letters, no watermark, no logo. Scene: Astronaut on the Moon beside a flag</t>
  </si>
  <si>
    <t xml:space="preserve">Cinematic photorealistic space visualization, NASA/ESA documentary style, dramatic volumetric lighting, deep blacks, rich fine detail, vertical 9:16 composition, main subject in the upper two thirds, no text, no letters, no watermark, no logo. Scene: Laser reflector panel on lunar soil</t>
  </si>
  <si>
    <t xml:space="preserve">Cinematic photorealistic space visualization, NASA/ESA documentary style, dramatic volumetric lighting, deep blacks, rich fine detail, vertical 9:16 composition, main subject in the upper two thirds, no text, no letters, no watermark, no logo. Scene: Moon rock samples in a lab case</t>
  </si>
  <si>
    <t xml:space="preserve">Cinematic photorealistic space visualization, NASA/ESA documentary style, dramatic volumetric lighting, deep blacks, rich fine detail, vertical 9:16 composition, main subject in the upper two thirds, no text, no letters, no watermark, no logo. Scene: Orbital view of a landing site with tracks</t>
  </si>
  <si>
    <t xml:space="preserve">Cinematic photorealistic space visualization, NASA/ESA documentary style, dramatic volumetric lighting, deep blacks, rich fine detail, vertical 9:16 composition, main subject in the upper two thirds, no text, no letters, no watermark, no logo. Scene: Flag with horizontal support rod, close-up</t>
  </si>
  <si>
    <t xml:space="preserve">Cinematic photorealistic space visualization, NASA/ESA documentary style, dramatic volumetric lighting, deep blacks, rich fine detail, vertical 9:16 composition, main subject in the upper two thirds, no text, no letters, no watermark, no logo. Scene: Earthrise over the lunar horizon</t>
  </si>
  <si>
    <t xml:space="preserve">beep, chime</t>
  </si>
  <si>
    <t xml:space="preserve">On n'a jamais marché sur la Lune ? Les preuves 🌌
Quelle preuve t'a le plus convaincu ?
#espace #idéesreçues #science #astronomie #lesavaistu #shorts</t>
  </si>
  <si>
    <t xml:space="preserve">Produis la vidéo F11 « On n'a jamais marché sur la Lune ? Les preuves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beep, chime + musique « calm » depuis la banque (-18 dB sous la voix, ducking). 6) Remotion : composition SpaceShort 1080×1920 30 fps, scènes calées sur les phrases, Ken Burns + parallaxe, sous-titres karaoké. 7) Contrôle qualité puis programmation BrightBean le J22 à 19:00 avec la légende fournie, label contenu IA activé.</t>
  </si>
  <si>
    <t xml:space="preserve">A12</t>
  </si>
  <si>
    <t xml:space="preserve">Et si Bételgeuse explosait ?</t>
  </si>
  <si>
    <t xml:space="preserve">Tu connais Orion ? Son épaule rouge, c'est Bételgeuse. Une supergéante en fin de vie, qui finira en supernova. Quand ? Peut-être demain, peut-être dans 100 000 ans. Ce jour-là, elle brillera presque comme la pleine lune pendant des semaines. Visible en plein jour, projetant des ombres la nuit. Et c'est dangereux ? Non. Elle est à plusieurs centaines d'années-lumière, bien trop loin pour nous atteindre. Puis elle s'éteindra lentement. Et Orion perdra son épaule pour toujours.</t>
  </si>
  <si>
    <t xml:space="preserve">Cinematic photorealistic space visualization, NASA/ESA documentary style, dramatic volumetric lighting, deep blacks, rich fine detail, vertical 9:16 composition, main subject in the upper two thirds, no text, no letters, no watermark, no logo. Scene: Orion constellation with red Betelgeuse highlighted</t>
  </si>
  <si>
    <t xml:space="preserve">Cinematic photorealistic space visualization, NASA/ESA documentary style, dramatic volumetric lighting, deep blacks, rich fine detail, vertical 9:16 composition, main subject in the upper two thirds, no text, no letters, no watermark, no logo. Scene: Close-up of a bloated red supergiant star</t>
  </si>
  <si>
    <t xml:space="preserve">Cinematic photorealistic space visualization, NASA/ESA documentary style, dramatic volumetric lighting, deep blacks, rich fine detail, vertical 9:16 composition, main subject in the upper two thirds, no text, no letters, no watermark, no logo. Scene: Supernova explosion blinding flash</t>
  </si>
  <si>
    <t xml:space="preserve">Cinematic photorealistic space visualization, NASA/ESA documentary style, dramatic volumetric lighting, deep blacks, rich fine detail, vertical 9:16 composition, main subject in the upper two thirds, no text, no letters, no watermark, no logo. Scene: Daytime sky with a bright star visible next to the Sun</t>
  </si>
  <si>
    <t xml:space="preserve">Cinematic photorealistic space visualization, NASA/ESA documentary style, dramatic volumetric lighting, deep blacks, rich fine detail, vertical 9:16 composition, main subject in the upper two thirds, no text, no letters, no watermark, no logo. Scene: Night landscape with sharp shadows from a supernova</t>
  </si>
  <si>
    <t xml:space="preserve">Cinematic photorealistic space visualization, NASA/ESA documentary style, dramatic volumetric lighting, deep blacks, rich fine detail, vertical 9:16 composition, main subject in the upper two thirds, no text, no letters, no watermark, no logo. Scene: Orion constellation missing one shoulder star</t>
  </si>
  <si>
    <t xml:space="preserve">Et si Bételgeuse explosait ? 🌌
Tu l'as déjà repérée dans le ciel ?
#espace #etsi #science #univers #astronomie #shorts</t>
  </si>
  <si>
    <t xml:space="preserve">Produis la vidéo A12 « Et si Bételgeuse explosait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deep_boom + musique « epic » depuis la banque (-18 dB sous la voix, ducking). 6) Remotion : composition SpaceShort 1080×1920 30 fps, scènes calées sur les phrases, Ken Burns + parallaxe, sous-titres karaoké. 7) Contrôle qualité puis programmation BrightBean le J23 à 08:00 avec la légende fournie, label contenu IA activé.</t>
  </si>
  <si>
    <t xml:space="preserve">B12</t>
  </si>
  <si>
    <t xml:space="preserve">Une cuillère d'étoile à neutrons</t>
  </si>
  <si>
    <t xml:space="preserve">Une étoile à neutrons, c'est le cœur d'une étoile géante qui s'est effondré. Imagine plus d'une fois la masse du Soleil, compressée dans une sphère d'environ 20 kilomètres. La taille d'une ville. Une petite cuillère de sa matière pèserait autour d'un milliard de tonnes. Plus qu'une montagne entière. Sa gravité est si forte que si tu faisais tomber une guimauve à sa surface, l'impact libérerait une énergie énorme. Ce sont les objets les plus denses de l'univers, juste avant les trous noirs.</t>
  </si>
  <si>
    <t xml:space="preserve">Cinematic photorealistic space visualization, NASA/ESA documentary style, dramatic volumetric lighting, deep blacks, rich fine detail, vertical 9:16 composition, main subject in the upper two thirds, no text, no letters, no watermark, no logo. Scene: Neutron star glowing blue-white with magnetic field lines</t>
  </si>
  <si>
    <t xml:space="preserve">Cinematic photorealistic space visualization, NASA/ESA documentary style, dramatic volumetric lighting, deep blacks, rich fine detail, vertical 9:16 composition, main subject in the upper two thirds, no text, no letters, no watermark, no logo. Scene: Neutron star next to a city skyline for scale</t>
  </si>
  <si>
    <t xml:space="preserve">Cinematic photorealistic space visualization, NASA/ESA documentary style, dramatic volumetric lighting, deep blacks, rich fine detail, vertical 9:16 composition, main subject in the upper two thirds, no text, no letters, no watermark, no logo. Scene: Teaspoon of glowing matter outweighing a mountain on a scale</t>
  </si>
  <si>
    <t xml:space="preserve">Cinematic photorealistic space visualization, NASA/ESA documentary style, dramatic volumetric lighting, deep blacks, rich fine detail, vertical 9:16 composition, main subject in the upper two thirds, no text, no letters, no watermark, no logo. Scene: Marshmallow falling toward a neutron star, whimsical</t>
  </si>
  <si>
    <t xml:space="preserve">Cinematic photorealistic space visualization, NASA/ESA documentary style, dramatic volumetric lighting, deep blacks, rich fine detail, vertical 9:16 composition, main subject in the upper two thirds, no text, no letters, no watermark, no logo. Scene: Collapse of a giant star core</t>
  </si>
  <si>
    <t xml:space="preserve">Cinematic photorealistic space visualization, NASA/ESA documentary style, dramatic volumetric lighting, deep blacks, rich fine detail, vertical 9:16 composition, main subject in the upper two thirds, no text, no letters, no watermark, no logo. Scene: Neutron star beside a black hole</t>
  </si>
  <si>
    <t xml:space="preserve">deep_boom, whoosh</t>
  </si>
  <si>
    <t xml:space="preserve">Une cuillère d'étoile à neutrons 🌌
Tu imaginais une densité pareille ?
#espace #univers #astronomie #science #vertige #shorts</t>
  </si>
  <si>
    <t xml:space="preserve">Produis la vidéo B12 « Une cuillère d'étoile à neutrons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deep_boom, whoosh + musique « mystery » depuis la banque (-18 dB sous la voix, ducking). 6) Remotion : composition SpaceShort 1080×1920 30 fps, scènes calées sur les phrases, Ken Burns + parallaxe, sous-titres karaoké. 7) Contrôle qualité puis programmation BrightBean le J23 à 12:30 avec la légende fournie, label contenu IA activé.</t>
  </si>
  <si>
    <t xml:space="preserve">C12</t>
  </si>
  <si>
    <t xml:space="preserve">Il pleut peut-être des diamants sur Neptune</t>
  </si>
  <si>
    <t xml:space="preserve">Au cœur de Neptune et d'Uranus, la pression et la chaleur sont extrêmes. Et elles pourraient transformer le carbone en diamants. Selon cette hypothèse, des cristaux de diamant se formeraient dans les profondeurs, puis couleraient lentement vers le centre, comme une pluie. Ce n'est pas qu'une théorie sur papier : des expériences en laboratoire, en 2017 puis 2022, ont réussi à créer des nanodiamants en reproduisant ces conditions avec des lasers. Personne ne pourra jamais aller vérifier. Mais l'idée est belle.</t>
  </si>
  <si>
    <t xml:space="preserve">Cinematic photorealistic space visualization, NASA/ESA documentary style, dramatic volumetric lighting, deep blacks, rich fine detail, vertical 9:16 composition, main subject in the upper two thirds, no text, no letters, no watermark, no logo. Scene: Neptune with a cutaway showing its interior</t>
  </si>
  <si>
    <t xml:space="preserve">Cinematic photorealistic space visualization, NASA/ESA documentary style, dramatic volumetric lighting, deep blacks, rich fine detail, vertical 9:16 composition, main subject in the upper two thirds, no text, no letters, no watermark, no logo. Scene: Diamond crystals raining down through dark blue depths</t>
  </si>
  <si>
    <t xml:space="preserve">Cinematic photorealistic space visualization, NASA/ESA documentary style, dramatic volumetric lighting, deep blacks, rich fine detail, vertical 9:16 composition, main subject in the upper two thirds, no text, no letters, no watermark, no logo. Scene: Extreme pressure crushing carbon atoms, visual</t>
  </si>
  <si>
    <t xml:space="preserve">Cinematic photorealistic space visualization, NASA/ESA documentary style, dramatic volumetric lighting, deep blacks, rich fine detail, vertical 9:16 composition, main subject in the upper two thirds, no text, no letters, no watermark, no logo. Scene: Laser lab experiment with bright beams</t>
  </si>
  <si>
    <t xml:space="preserve">Cinematic photorealistic space visualization, NASA/ESA documentary style, dramatic volumetric lighting, deep blacks, rich fine detail, vertical 9:16 composition, main subject in the upper two thirds, no text, no letters, no watermark, no logo. Scene: Nanodiamonds glowing under microscope, stylized</t>
  </si>
  <si>
    <t xml:space="preserve">Cinematic photorealistic space visualization, NASA/ESA documentary style, dramatic volumetric lighting, deep blacks, rich fine detail, vertical 9:16 composition, main subject in the upper two thirds, no text, no letters, no watermark, no logo. Scene: Uranus and Neptune side by side</t>
  </si>
  <si>
    <t xml:space="preserve">chime, rumble</t>
  </si>
  <si>
    <t xml:space="preserve">Il pleut peut-être des diamants sur Neptune 🌌
Pluie de diamants, tu y crois ?
#espace #planetes #systemesolaire #astronomie #science #shorts</t>
  </si>
  <si>
    <t xml:space="preserve">Produis la vidéo C12 « Il pleut peut-être des diamants sur Neptune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rumble + musique « wonder » depuis la banque (-18 dB sous la voix, ducking). 6) Remotion : composition SpaceShort 1080×1920 30 fps, scènes calées sur les phrases, Ken Burns + parallaxe, sous-titres karaoké. 7) Contrôle qualité puis programmation BrightBean le J23 à 19:00 avec la légende fournie, label contenu IA activé.</t>
  </si>
  <si>
    <t xml:space="preserve">D12</t>
  </si>
  <si>
    <t xml:space="preserve">Pourquoi les étoiles scintillent</t>
  </si>
  <si>
    <t xml:space="preserve">Les étoiles ne scintillent pas vraiment. C'est notre atmosphère qui les fait trembler. L'air est fait de couches de températures différentes, en mouvement permanent. La lumière d'une étoile, qui arrive comme un point minuscule, est déviée un peu dans tous les sens en traversant ces couches. Résultat : elle clignote. Les planètes, elles, apparaissent comme de petits disques, donc elles scintillent beaucoup moins. Un bon moyen de les repérer ! Dans l'espace, les étoiles sont parfaitement fixes.</t>
  </si>
  <si>
    <t xml:space="preserve">Cinematic photorealistic space visualization, NASA/ESA documentary style, dramatic volumetric lighting, deep blacks, rich fine detail, vertical 9:16 composition, main subject in the upper two thirds, no text, no letters, no watermark, no logo. Scene: Starry sky with twinkling stars</t>
  </si>
  <si>
    <t xml:space="preserve">Cinematic photorealistic space visualization, NASA/ESA documentary style, dramatic volumetric lighting, deep blacks, rich fine detail, vertical 9:16 composition, main subject in the upper two thirds, no text, no letters, no watermark, no logo. Scene: Turbulent air layers bending starlight, visual</t>
  </si>
  <si>
    <t xml:space="preserve">Cinematic photorealistic space visualization, NASA/ESA documentary style, dramatic volumetric lighting, deep blacks, rich fine detail, vertical 9:16 composition, main subject in the upper two thirds, no text, no letters, no watermark, no logo. Scene: Single star point distorted by atmosphere</t>
  </si>
  <si>
    <t xml:space="preserve">Cinematic photorealistic space visualization, NASA/ESA documentary style, dramatic volumetric lighting, deep blacks, rich fine detail, vertical 9:16 composition, main subject in the upper two thirds, no text, no letters, no watermark, no logo. Scene: Bright steady planet among twinkling stars</t>
  </si>
  <si>
    <t xml:space="preserve">Cinematic photorealistic space visualization, NASA/ESA documentary style, dramatic volumetric lighting, deep blacks, rich fine detail, vertical 9:16 composition, main subject in the upper two thirds, no text, no letters, no watermark, no logo. Scene: Astronaut view from orbit: steady stars</t>
  </si>
  <si>
    <t xml:space="preserve">Cinematic photorealistic space visualization, NASA/ESA documentary style, dramatic volumetric lighting, deep blacks, rich fine detail, vertical 9:16 composition, main subject in the upper two thirds, no text, no letters, no watermark, no logo. Scene: Night landscape with Venus shining steadily</t>
  </si>
  <si>
    <t xml:space="preserve">chime, wind</t>
  </si>
  <si>
    <t xml:space="preserve">Pourquoi les étoiles scintillent 🌌
Tu vas tester ce soir ?
#espace #trounoir #etoiles #astrophysique #science #shorts</t>
  </si>
  <si>
    <t xml:space="preserve">Produis la vidéo D12 « Pourquoi les étoiles scintillent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wind + musique « calm » depuis la banque (-18 dB sous la voix, ducking). 6) Remotion : composition SpaceShort 1080×1920 30 fps, scènes calées sur les phrases, Ken Burns + parallaxe, sous-titres karaoké. 7) Contrôle qualité puis programmation BrightBean le J24 à 08:00 avec la légende fournie, label contenu IA activé.</t>
  </si>
  <si>
    <t xml:space="preserve">E12</t>
  </si>
  <si>
    <t xml:space="preserve">L'ISS, 16 levers de soleil par jour</t>
  </si>
  <si>
    <t xml:space="preserve">Depuis novembre 2000, il y a toujours des humains dans l'espace. Sans interruption. La Station spatiale internationale tourne à environ 400 km d'altitude, à près de 28 000 km/h. Elle fait le tour de la Terre en environ 90 minutes. Résultat : les astronautes voient environ 16 levers et 16 couchers de soleil par jour. Elle est aussi grande qu'un terrain de foot. Et tu peux la voir à l'œil nu : un point lumineux qui traverse le ciel en quelques minutes, sans clignoter.</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</si>
  <si>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International Space Station over Earth</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</si>
  <si>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Sunrise over Earth's curve from orbit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</si>
  <si>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Astronaut floating by a window watching sunrise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</si>
  <si>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ISS size compared to a football field</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</si>
  <si>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Night sky with a bright moving dot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</si>
  <si>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Earth city lights at night from the ISS</t>
  </si>
  <si>
    <t xml:space="preserve">L'ISS, 16 levers de soleil par jour 🌌
Tu l'as déjà vue passer ?
#espace #histoire #conquetespatiale #nasa #science #shorts</t>
  </si>
  <si>
    <t xml:space="preserve">Produis la vidéo E12 « L'ISS, 16 levers de soleil par jour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wonder » depuis la banque (-18 dB sous la voix, ducking). 6) Remotion : composition SpaceShort 1080×1920 30 fps, scènes calées sur les phrases, Ken Burns + parallaxe, sous-titres karaoké. 7) Contrôle qualité puis programmation BrightBean le J24 à 12:30 avec la légende fournie, label contenu IA activé.</t>
  </si>
  <si>
    <t xml:space="preserve">F12</t>
  </si>
  <si>
    <t xml:space="preserve">L'espace est plus proche que tu ne crois</t>
  </si>
  <si>
    <t xml:space="preserve">L'espace, c'est très loin ? Pas tant que ça. La limite la plus utilisée, la ligne de Kármán, se situe à 100 km d'altitude. Si tu pouvais rouler en voiture à la verticale, tu y serais en un peu plus d'une heure. Un Paris-Lille, c'est plus long. Les États-Unis retiennent parfois 80 km. Le vrai défi n'est pas de monter, mais de rester : pour orbiter, il faut aller à environ 28 000 km/h à l'horizontale. C'est là que la plupart de l'énergie d'une fusée est dépensée.</t>
  </si>
  <si>
    <t xml:space="preserve">Cinematic photorealistic space visualization, NASA/ESA documentary style, dramatic volumetric lighting, deep blacks, rich fine detail, vertical 9:16 composition, main subject in the upper two thirds, no text, no letters, no watermark, no logo. Scene: Car driving straight up into the sky, whimsical</t>
  </si>
  <si>
    <t xml:space="preserve">Cinematic photorealistic space visualization, NASA/ESA documentary style, dramatic volumetric lighting, deep blacks, rich fine detail, vertical 9:16 composition, main subject in the upper two thirds, no text, no letters, no watermark, no logo. Scene: Earth atmosphere layers with 100 km line</t>
  </si>
  <si>
    <t xml:space="preserve">Cinematic photorealistic space visualization, NASA/ESA documentary style, dramatic volumetric lighting, deep blacks, rich fine detail, vertical 9:16 composition, main subject in the upper two thirds, no text, no letters, no watermark, no logo. Scene: Edge of space: thin blue line over Earth</t>
  </si>
  <si>
    <t xml:space="preserve">Cinematic photorealistic space visualization, NASA/ESA documentary style, dramatic volumetric lighting, deep blacks, rich fine detail, vertical 9:16 composition, main subject in the upper two thirds, no text, no letters, no watermark, no logo. Scene: Suborbital capsule reaching space briefly</t>
  </si>
  <si>
    <t xml:space="preserve">Cinematic photorealistic space visualization, NASA/ESA documentary style, dramatic volumetric lighting, deep blacks, rich fine detail, vertical 9:16 composition, main subject in the upper two thirds, no text, no letters, no watermark, no logo. Scene: Orbital speed arrow around Earth</t>
  </si>
  <si>
    <t xml:space="preserve">Cinematic photorealistic space visualization, NASA/ESA documentary style, dramatic volumetric lighting, deep blacks, rich fine detail, vertical 9:16 composition, main subject in the upper two thirds, no text, no letters, no watermark, no logo. Scene: Rocket burning fuel horizontally into orbit</t>
  </si>
  <si>
    <t xml:space="preserve">whoosh, launch</t>
  </si>
  <si>
    <t xml:space="preserve">L'espace est plus proche que tu ne crois 🌌
Une heure de voiture, t'aurais cru ?
#espace #idéesreçues #science #astronomie #lesavaistu #shorts</t>
  </si>
  <si>
    <t xml:space="preserve">Produis la vidéo F12 « L'espace est plus proche que tu ne crois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launch + musique « wonder » depuis la banque (-18 dB sous la voix, ducking). 6) Remotion : composition SpaceShort 1080×1920 30 fps, scènes calées sur les phrases, Ken Burns + parallaxe, sous-titres karaoké. 7) Contrôle qualité puis programmation BrightBean le J24 à 19:00 avec la légende fournie, label contenu IA activé.</t>
  </si>
  <si>
    <t xml:space="preserve">A13</t>
  </si>
  <si>
    <t xml:space="preserve">Et si l'astéroïde des dinosaures tombait aujourd'hui ?</t>
  </si>
  <si>
    <t xml:space="preserve">Il y a 66 millions d'années, un astéroïde d'une dizaine de kilomètres percute le Mexique. Cratère de 180 kilomètres. Incendies, tsunamis, puis des années de ciel obscurci. Les trois quarts des espèces disparaissent. S'il tombait aujourd'hui ? Même scénario. Mais on n'est plus totalement désarmés. En 2022, la NASA a lancé la sonde DART contre un petit astéroïde. Résultat : son orbite a raccourci de 32 minutes. La première fois que l'humanité a déplacé un astre. Le secret, c'est de le repérer des années à l'avance.</t>
  </si>
  <si>
    <t xml:space="preserve">Cinematic photorealistic space visualization, NASA/ESA documentary style, dramatic volumetric lighting, deep blacks, rich fine detail, vertical 9:16 composition, main subject in the upper two thirds, no text, no letters, no watermark, no logo. Scene: Giant asteroid approaching Earth over Mexico</t>
  </si>
  <si>
    <t xml:space="preserve">Cinematic photorealistic space visualization, NASA/ESA documentary style, dramatic volumetric lighting, deep blacks, rich fine detail, vertical 9:16 composition, main subject in the upper two thirds, no text, no letters, no watermark, no logo. Scene: Impact flash and expanding fireball</t>
  </si>
  <si>
    <t xml:space="preserve">Cinematic photorealistic space visualization, NASA/ESA documentary style, dramatic volumetric lighting, deep blacks, rich fine detail, vertical 9:16 composition, main subject in the upper two thirds, no text, no letters, no watermark, no logo. Scene: Dinosaurs silhouetted against a burning sky</t>
  </si>
  <si>
    <t xml:space="preserve">Cinematic photorealistic space visualization, NASA/ESA documentary style, dramatic volumetric lighting, deep blacks, rich fine detail, vertical 9:16 composition, main subject in the upper two thirds, no text, no letters, no watermark, no logo. Scene: Dark ash-covered world under grey sky</t>
  </si>
  <si>
    <t xml:space="preserve">Cinematic photorealistic space visualization, NASA/ESA documentary style, dramatic volumetric lighting, deep blacks, rich fine detail, vertical 9:16 composition, main subject in the upper two thirds, no text, no letters, no watermark, no logo. Scene: DART spacecraft approaching a small moonlet asteroid</t>
  </si>
  <si>
    <t xml:space="preserve">Cinematic photorealistic space visualization, NASA/ESA documentary style, dramatic volumetric lighting, deep blacks, rich fine detail, vertical 9:16 composition, main subject in the upper two thirds, no text, no letters, no watermark, no logo. Scene: Asteroid deflected on a new trajectory, glowing path lines</t>
  </si>
  <si>
    <t xml:space="preserve">deep_boom, rumble, whoosh</t>
  </si>
  <si>
    <t xml:space="preserve">Et si l'astéroïde des dinosaures tombait aujourd'hui ? 🌌
Tu savais qu'on avait déjà dévié un astéroïde ?
#espace #etsi #science #univers #astronomie #shorts</t>
  </si>
  <si>
    <t xml:space="preserve">Produis la vidéo A13 « Et si l'astéroïde des dinosaures tombait aujourd'hui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deep_boom, rumble, whoosh + musique « tension » depuis la banque (-18 dB sous la voix, ducking). 6) Remotion : composition SpaceShort 1080×1920 30 fps, scènes calées sur les phrases, Ken Burns + parallaxe, sous-titres karaoké. 7) Contrôle qualité puis programmation BrightBean le J25 à 08:00 avec la légende fournie, label contenu IA activé.</t>
  </si>
  <si>
    <t xml:space="preserve">B13</t>
  </si>
  <si>
    <t xml:space="preserve">Andromède va-t-elle percuter la Voie lactée ?</t>
  </si>
  <si>
    <t xml:space="preserve">La galaxie d'Andromède est à 2,5 millions d'années-lumière. Et elle se rapproche de nous à environ 110 km par seconde. Longtemps, on a annoncé une collision dans 4 à 5 milliards d'années. Mais une étude de 2025 a revu les calculs : la probabilité serait plutôt d'environ une chance sur deux dans les 10 prochains milliards d'années. Et même en cas de fusion, les étoiles ne se percuteraient presque pas : elles sont trop espacées. Par contre, le ciel nocturne deviendrait spectaculaire.</t>
  </si>
  <si>
    <t xml:space="preserve">Cinematic photorealistic space visualization, NASA/ESA documentary style, dramatic volumetric lighting, deep blacks, rich fine detail, vertical 9:16 composition, main subject in the upper two thirds, no text, no letters, no watermark, no logo. Scene: Andromeda galaxy in the night sky</t>
  </si>
  <si>
    <t xml:space="preserve">Cinematic photorealistic space visualization, NASA/ESA documentary style, dramatic volumetric lighting, deep blacks, rich fine detail, vertical 9:16 composition, main subject in the upper two thirds, no text, no letters, no watermark, no logo. Scene: Andromeda approaching the Milky Way</t>
  </si>
  <si>
    <t xml:space="preserve">Cinematic photorealistic space visualization, NASA/ESA documentary style, dramatic volumetric lighting, deep blacks, rich fine detail, vertical 9:16 composition, main subject in the upper two thirds, no text, no letters, no watermark, no logo. Scene: Two spiral galaxies merging with tidal tails</t>
  </si>
  <si>
    <t xml:space="preserve">Cinematic photorealistic space visualization, NASA/ESA documentary style, dramatic volumetric lighting, deep blacks, rich fine detail, vertical 9:16 composition, main subject in the upper two thirds, no text, no letters, no watermark, no logo. Scene: Stars passing each other with huge gaps</t>
  </si>
  <si>
    <t xml:space="preserve">Cinematic photorealistic space visualization, NASA/ESA documentary style, dramatic volumetric lighting, deep blacks, rich fine detail, vertical 9:16 composition, main subject in the upper two thirds, no text, no letters, no watermark, no logo. Scene: Future Earth-like sky with a giant galaxy overhead</t>
  </si>
  <si>
    <t xml:space="preserve">Cinematic photorealistic space visualization, NASA/ESA documentary style, dramatic volumetric lighting, deep blacks, rich fine detail, vertical 9:16 composition, main subject in the upper two thirds, no text, no letters, no watermark, no logo. Scene: Resulting elliptical galaxy</t>
  </si>
  <si>
    <t xml:space="preserve">Andromède va-t-elle percuter la Voie lactée ? 🌌
Une chance sur deux... tu paries ?
#espace #univers #astronomie #science #vertige #shorts</t>
  </si>
  <si>
    <t xml:space="preserve">Produis la vidéo B13 « Andromède va-t-elle percuter la Voie lactée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riser + musique « epic » depuis la banque (-18 dB sous la voix, ducking). 6) Remotion : composition SpaceShort 1080×1920 30 fps, scènes calées sur les phrases, Ken Burns + parallaxe, sous-titres karaoké. 7) Contrôle qualité puis programmation BrightBean le J25 à 12:30 avec la légende fournie, label contenu IA activé.</t>
  </si>
  <si>
    <t xml:space="preserve">C13</t>
  </si>
  <si>
    <t xml:space="preserve">La Lune s'éloigne de nous</t>
  </si>
  <si>
    <t xml:space="preserve">Chaque année, la Lune s'éloigne de la Terre d'environ 3,8 centimètres. À peu près la vitesse de pousse de tes ongles. Comment on le sait ? Les astronautes d'Apollo ont déposé des réflecteurs sur la Lune. Depuis la Terre, on y envoie des tirs laser et on mesure le temps de retour, au millimètre près. Ce phénomène vient des marées, qui freinent aussi la rotation de la Terre. Les journées rallongent très lentement. Il y a des centaines de millions d'années, une journée durait bien moins de 24 heures.</t>
  </si>
  <si>
    <t xml:space="preserve">Cinematic photorealistic space visualization, NASA/ESA documentary style, dramatic volumetric lighting, deep blacks, rich fine detail, vertical 9:16 composition, main subject in the upper two thirds, no text, no letters, no watermark, no logo. Scene: Moon slowly drifting away from Earth</t>
  </si>
  <si>
    <t xml:space="preserve">Cinematic photorealistic space visualization, NASA/ESA documentary style, dramatic volumetric lighting, deep blacks, rich fine detail, vertical 9:16 composition, main subject in the upper two thirds, no text, no letters, no watermark, no logo. Scene: Fingernail growth comparison, macro</t>
  </si>
  <si>
    <t xml:space="preserve">Cinematic photorealistic space visualization, NASA/ESA documentary style, dramatic volumetric lighting, deep blacks, rich fine detail, vertical 9:16 composition, main subject in the upper two thirds, no text, no letters, no watermark, no logo. Scene: Apollo retroreflector panel on lunar soil</t>
  </si>
  <si>
    <t xml:space="preserve">Cinematic photorealistic space visualization, NASA/ESA documentary style, dramatic volumetric lighting, deep blacks, rich fine detail, vertical 9:16 composition, main subject in the upper two thirds, no text, no letters, no watermark, no logo. Scene: Green laser beam from an observatory to the Moon</t>
  </si>
  <si>
    <t xml:space="preserve">Cinematic photorealistic space visualization, NASA/ESA documentary style, dramatic volumetric lighting, deep blacks, rich fine detail, vertical 9:16 composition, main subject in the upper two thirds, no text, no letters, no watermark, no logo. Scene: Tidal bulges on Earth, diagram-like render</t>
  </si>
  <si>
    <t xml:space="preserve">Cinematic photorealistic space visualization, NASA/ESA documentary style, dramatic volumetric lighting, deep blacks, rich fine detail, vertical 9:16 composition, main subject in the upper two thirds, no text, no letters, no watermark, no logo. Scene: Ancient Earth with a larger Moon in the sky</t>
  </si>
  <si>
    <t xml:space="preserve">beep, whoosh</t>
  </si>
  <si>
    <t xml:space="preserve">La Lune s'éloigne de nous 🌌
Tu savais qu'on tirait au laser sur la Lune ?
#espace #planetes #systemesolaire #astronomie #science #shorts</t>
  </si>
  <si>
    <t xml:space="preserve">Produis la vidéo C13 « La Lune s'éloigne de nous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beep, whoosh + musique « calm » depuis la banque (-18 dB sous la voix, ducking). 6) Remotion : composition SpaceShort 1080×1920 30 fps, scènes calées sur les phrases, Ken Burns + parallaxe, sous-titres karaoké. 7) Contrôle qualité puis programmation BrightBean le J25 à 19:00 avec la légende fournie, label contenu IA activé.</t>
  </si>
  <si>
    <t xml:space="preserve">D13</t>
  </si>
  <si>
    <t xml:space="preserve">La couleur des étoiles</t>
  </si>
  <si>
    <t xml:space="preserve">Les étoiles ont des couleurs, et elles révèlent leur température. Contre-intuitif : les étoiles bleues sont les plus chaudes, plus de 25 000 degrés en surface. Les rouges sont les plus froides, autour de 3 000 degrés. Et le Soleil ? On le dit jaune, mais depuis l'espace, il est blanc. Il émet toutes les couleurs à peu près également. C'est notre atmosphère qui le teinte en jaune ou en orange. Regarde Orion : Bételgeuse est rouge, Rigel est bleue. Deux mondes opposés dans la même constellation.</t>
  </si>
  <si>
    <t xml:space="preserve">Cinematic photorealistic space visualization, NASA/ESA documentary style, dramatic volumetric lighting, deep blacks, rich fine detail, vertical 9:16 composition, main subject in the upper two thirds, no text, no letters, no watermark, no logo. Scene: Palette of stars from blue to red</t>
  </si>
  <si>
    <t xml:space="preserve">Cinematic photorealistic space visualization, NASA/ESA documentary style, dramatic volumetric lighting, deep blacks, rich fine detail, vertical 9:16 composition, main subject in the upper two thirds, no text, no letters, no watermark, no logo. Scene: Hot blue giant star</t>
  </si>
  <si>
    <t xml:space="preserve">Cinematic photorealistic space visualization, NASA/ESA documentary style, dramatic volumetric lighting, deep blacks, rich fine detail, vertical 9:16 composition, main subject in the upper two thirds, no text, no letters, no watermark, no logo. Scene: Cool red dwarf star</t>
  </si>
  <si>
    <t xml:space="preserve">Cinematic photorealistic space visualization, NASA/ESA documentary style, dramatic volumetric lighting, deep blacks, rich fine detail, vertical 9:16 composition, main subject in the upper two thirds, no text, no letters, no watermark, no logo. Scene: Orange sunset on Earth</t>
  </si>
  <si>
    <t xml:space="preserve">Cinematic photorealistic space visualization, NASA/ESA documentary style, dramatic volumetric lighting, deep blacks, rich fine detail, vertical 9:16 composition, main subject in the upper two thirds, no text, no letters, no watermark, no logo. Scene: Orion with red Betelgeuse and blue Rigel</t>
  </si>
  <si>
    <t xml:space="preserve">La couleur des étoiles 🌌
Tu savais que le Soleil était blanc ?
#espace #trounoir #etoiles #astrophysique #science #shorts</t>
  </si>
  <si>
    <t xml:space="preserve">Produis la vidéo D13 « La couleur des étoiles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whoosh + musique « wonder » depuis la banque (-18 dB sous la voix, ducking). 6) Remotion : composition SpaceShort 1080×1920 30 fps, scènes calées sur les phrases, Ken Burns + parallaxe, sous-titres karaoké. 7) Contrôle qualité puis programmation BrightBean le J26 à 08:00 avec la légende fournie, label contenu IA activé.</t>
  </si>
  <si>
    <t xml:space="preserve">E13</t>
  </si>
  <si>
    <t xml:space="preserve">Les Français dans l'espace</t>
  </si>
  <si>
    <t xml:space="preserve">Le premier Français dans l'espace s'appelle Jean-Loup Chrétien. En 1982, il rejoint la station soviétique Saliout 7. Il deviendra aussi le premier Européen de l'Ouest à faire une sortie dans l'espace, en 1988. Puis viendront Claudie Haigneré, première Française dans l'espace, et bien d'autres. Et Thomas Pesquet, deux missions sur l'ISS, en 2016 et 2021. Lors de la seconde, il en devient le commandant : une première pour un Français. Et ses photos de la Terre ont fait le tour du monde.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</si>
  <si>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French tricolor patch on a spacesuit sleeve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</si>
  <si>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Soviet-era space station Salyut 7</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</si>
  <si>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Astronaut on a spacewalk, 1988 retro</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</si>
  <si>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Female astronaut portrait in modern suit, generic</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</si>
  <si>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ISS commander in the cupola</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</si>
  <si>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Photo of France at night from orbit</t>
  </si>
  <si>
    <t xml:space="preserve">Les Français dans l'espace 🌌
Tu as suivi les missions de Pesquet ?
#espace #histoire #conquetespatiale #nasa #science #shorts</t>
  </si>
  <si>
    <t xml:space="preserve">Produis la vidéo E13 « Les Français dans l'espace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launch, chime + musique « epic » depuis la banque (-18 dB sous la voix, ducking). 6) Remotion : composition SpaceShort 1080×1920 30 fps, scènes calées sur les phrases, Ken Burns + parallaxe, sous-titres karaoké. 7) Contrôle qualité puis programmation BrightBean le J26 à 12:30 avec la légende fournie, label contenu IA activé.</t>
  </si>
  <si>
    <t xml:space="preserve">F13</t>
  </si>
  <si>
    <t xml:space="preserve">Le Soleil n'est pas en feu</t>
  </si>
  <si>
    <t xml:space="preserve">Le Soleil n'est pas une boule de feu. Le feu, c'est une combustion, une réaction chimique qui a besoin d'oxygène. Le Soleil, lui, fonctionne à la fusion nucléaire. Dans son cœur, à environ 15 millions de degrés, des noyaux d'hydrogène fusionnent pour former de l'hélium. Chaque seconde, il transforme environ 600 millions de tonnes d'hydrogène. Une partie de cette masse devient de l'énergie. Et la lumière qui te réchauffe aujourd'hui a mis des dizaines de milliers d'années à sortir de son cœur.</t>
  </si>
  <si>
    <t xml:space="preserve">Cinematic photorealistic space visualization, NASA/ESA documentary style, dramatic volumetric lighting, deep blacks, rich fine detail, vertical 9:16 composition, main subject in the upper two thirds, no text, no letters, no watermark, no logo. Scene: Sun surface with granulation and prominences</t>
  </si>
  <si>
    <t xml:space="preserve">Cinematic photorealistic space visualization, NASA/ESA documentary style, dramatic volumetric lighting, deep blacks, rich fine detail, vertical 9:16 composition, main subject in the upper two thirds, no text, no letters, no watermark, no logo. Scene: Campfire crossed out, myth concept</t>
  </si>
  <si>
    <t xml:space="preserve">Cinematic photorealistic space visualization, NASA/ESA documentary style, dramatic volumetric lighting, deep blacks, rich fine detail, vertical 9:16 composition, main subject in the upper two thirds, no text, no letters, no watermark, no logo. Scene: Sun core with fusing hydrogen nuclei glowing</t>
  </si>
  <si>
    <t xml:space="preserve">Cinematic photorealistic space visualization, NASA/ESA documentary style, dramatic volumetric lighting, deep blacks, rich fine detail, vertical 9:16 composition, main subject in the upper two thirds, no text, no letters, no watermark, no logo. Scene: Particles fusing into helium, abstract</t>
  </si>
  <si>
    <t xml:space="preserve">Cinematic photorealistic space visualization, NASA/ESA documentary style, dramatic volumetric lighting, deep blacks, rich fine detail, vertical 9:16 composition, main subject in the upper two thirds, no text, no letters, no watermark, no logo. Scene: Energy radiating outward from the Sun</t>
  </si>
  <si>
    <t xml:space="preserve">Cinematic photorealistic space visualization, NASA/ESA documentary style, dramatic volumetric lighting, deep blacks, rich fine detail, vertical 9:16 composition, main subject in the upper two thirds, no text, no letters, no watermark, no logo. Scene: Sunlight reaching Earth's surface warmly</t>
  </si>
  <si>
    <t xml:space="preserve">crackle, deep_boom</t>
  </si>
  <si>
    <t xml:space="preserve">Le Soleil n'est pas en feu 🌌
Tu pensais que le Soleil brûlait ?
#espace #idéesreçues #science #astronomie #lesavaistu #shorts</t>
  </si>
  <si>
    <t xml:space="preserve">Produis la vidéo F13 « Le Soleil n'est pas en feu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crackle, deep_boom + musique « epic » depuis la banque (-18 dB sous la voix, ducking). 6) Remotion : composition SpaceShort 1080×1920 30 fps, scènes calées sur les phrases, Ken Burns + parallaxe, sous-titres karaoké. 7) Contrôle qualité puis programmation BrightBean le J26 à 19:00 avec la légende fournie, label contenu IA activé.</t>
  </si>
  <si>
    <t xml:space="preserve">A14</t>
  </si>
  <si>
    <t xml:space="preserve">Et si la Lune était aussi proche que l'ISS ?</t>
  </si>
  <si>
    <t xml:space="preserve">La Station spatiale internationale tourne à environ 400 km d'altitude. La Lune, elle, est à 384 000 km. Alors, et si on la rapprochait à 400 km ? Elle occuperait une énorme partie du ciel... pendant très peu de temps. Bien avant d'arriver là, la gravité de la Terre la déchirerait. C'est la limite de Roche : trop près, les forces de marée pulvérisent un astre. La Lune deviendrait un anneau de débris. Et une partie retomberait sur nous. Le ciel le plus beau de l'histoire, puis le plus meurtrier.</t>
  </si>
  <si>
    <t xml:space="preserve">Cinematic photorealistic space visualization, NASA/ESA documentary style, dramatic volumetric lighting, deep blacks, rich fine detail, vertical 9:16 composition, main subject in the upper two thirds, no text, no letters, no watermark, no logo. Scene: ISS orbiting close above Earth</t>
  </si>
  <si>
    <t xml:space="preserve">Cinematic photorealistic space visualization, NASA/ESA documentary style, dramatic volumetric lighting, deep blacks, rich fine detail, vertical 9:16 composition, main subject in the upper two thirds, no text, no letters, no watermark, no logo. Scene: Enormous Moon filling the sky above a city</t>
  </si>
  <si>
    <t xml:space="preserve">Cinematic photorealistic space visualization, NASA/ESA documentary style, dramatic volumetric lighting, deep blacks, rich fine detail, vertical 9:16 composition, main subject in the upper two thirds, no text, no letters, no watermark, no logo. Scene: Moon cracking apart from tidal forces</t>
  </si>
  <si>
    <t xml:space="preserve">Cinematic photorealistic space visualization, NASA/ESA documentary style, dramatic volumetric lighting, deep blacks, rich fine detail, vertical 9:16 composition, main subject in the upper two thirds, no text, no letters, no watermark, no logo. Scene: Debris ring forming around Earth</t>
  </si>
  <si>
    <t xml:space="preserve">Cinematic photorealistic space visualization, NASA/ESA documentary style, dramatic volumetric lighting, deep blacks, rich fine detail, vertical 9:16 composition, main subject in the upper two thirds, no text, no letters, no watermark, no logo. Scene: Meteor shower of lunar fragments over the planet</t>
  </si>
  <si>
    <t xml:space="preserve">Cinematic photorealistic space visualization, NASA/ESA documentary style, dramatic volumetric lighting, deep blacks, rich fine detail, vertical 9:16 composition, main subject in the upper two thirds, no text, no letters, no watermark, no logo. Scene: Earth with a bright debris ring, aftermath</t>
  </si>
  <si>
    <t xml:space="preserve">rumble, glass_crack, deep_boom</t>
  </si>
  <si>
    <t xml:space="preserve">Et si la Lune était aussi proche que l'ISS ? 🌌
Ciel magnifique ou fin du monde ?
#espace #etsi #science #univers #astronomie #shorts</t>
  </si>
  <si>
    <t xml:space="preserve">Produis la vidéo A14 « Et si la Lune était aussi proche que l'ISS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glass_crack, deep_boom + musique « tension » depuis la banque (-18 dB sous la voix, ducking). 6) Remotion : composition SpaceShort 1080×1920 30 fps, scènes calées sur les phrases, Ken Burns + parallaxe, sous-titres karaoké. 7) Contrôle qualité puis programmation BrightBean le J27 à 08:00 avec la légende fournie, label contenu IA activé.</t>
  </si>
  <si>
    <t xml:space="preserve">B14</t>
  </si>
  <si>
    <t xml:space="preserve">Tu regardes le passé</t>
  </si>
  <si>
    <t xml:space="preserve">Quand tu regardes la Lune, tu la vois telle qu'elle était il y a 1,3 seconde. Le Soleil ? Il y a 8 minutes et 20 secondes. Neptune ? Environ 4 heures. L'étoile la plus proche ? Plus de 4 ans. Et la galaxie d'Andromède, visible à l'œil nu dans un ciel bien noir, il y a 2,5 millions d'années. Sa lumière est partie quand les premiers humains du genre Homo apparaissaient en Afrique. Le ciel nocturne n'est pas une photo. C'est un mélange d'époques différentes.</t>
  </si>
  <si>
    <t xml:space="preserve">Cinematic photorealistic space visualization, NASA/ESA documentary style, dramatic volumetric lighting, deep blacks, rich fine detail, vertical 9:16 composition, main subject in the upper two thirds, no text, no letters, no watermark, no logo. Scene: Person looking at the Moon at night</t>
  </si>
  <si>
    <t xml:space="preserve">Cinematic photorealistic space visualization, NASA/ESA documentary style, dramatic volumetric lighting, deep blacks, rich fine detail, vertical 9:16 composition, main subject in the upper two thirds, no text, no letters, no watermark, no logo. Scene: Light traveling from Sun to Earth with a timer</t>
  </si>
  <si>
    <t xml:space="preserve">Cinematic photorealistic space visualization, NASA/ESA documentary style, dramatic volumetric lighting, deep blacks, rich fine detail, vertical 9:16 composition, main subject in the upper two thirds, no text, no letters, no watermark, no logo. Scene: Neptune in blue light</t>
  </si>
  <si>
    <t xml:space="preserve">Cinematic photorealistic space visualization, NASA/ESA documentary style, dramatic volumetric lighting, deep blacks, rich fine detail, vertical 9:16 composition, main subject in the upper two thirds, no text, no letters, no watermark, no logo. Scene: Nearest star glowing faintly</t>
  </si>
  <si>
    <t xml:space="preserve">Cinematic photorealistic space visualization, NASA/ESA documentary style, dramatic volumetric lighting, deep blacks, rich fine detail, vertical 9:16 composition, main subject in the upper two thirds, no text, no letters, no watermark, no logo. Scene: Andromeda galaxy faint smudge in dark sky</t>
  </si>
  <si>
    <t xml:space="preserve">Cinematic photorealistic space visualization, NASA/ESA documentary style, dramatic volumetric lighting, deep blacks, rich fine detail, vertical 9:16 composition, main subject in the upper two thirds, no text, no letters, no watermark, no logo. Scene: Early humans under a starry African sky</t>
  </si>
  <si>
    <t xml:space="preserve">Tu regardes le passé 🌌
Ça change ta façon de regarder le ciel ?
#espace #univers #astronomie #science #vertige #shorts</t>
  </si>
  <si>
    <t xml:space="preserve">Produis la vidéo B14 « Tu regardes le passé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whoosh + musique « calm » depuis la banque (-18 dB sous la voix, ducking). 6) Remotion : composition SpaceShort 1080×1920 30 fps, scènes calées sur les phrases, Ken Burns + parallaxe, sous-titres karaoké. 7) Contrôle qualité puis programmation BrightBean le J27 à 12:30 avec la légende fournie, label contenu IA activé.</t>
  </si>
  <si>
    <t xml:space="preserve">C14</t>
  </si>
  <si>
    <t xml:space="preserve">La lune de Mars qui va s'écraser</t>
  </si>
  <si>
    <t xml:space="preserve">Mars a deux petites lunes : Phobos et Déimos. Phobos a un problème. Elle tourne tellement près de Mars qu'elle se rapproche de la planète, d'environ 1,8 mètre par siècle. Dans quelques dizaines de millions d'années, elle sera trop proche. Deux scénarios : soit elle s'écrase sur Mars, soit la gravité martienne la brise, et ses débris forment un anneau autour de la planète. Mars aurait alors des anneaux, comme Saturne. Temporaires, mais spectaculaires.</t>
  </si>
  <si>
    <t xml:space="preserve">Cinematic photorealistic space visualization, NASA/ESA documentary style, dramatic volumetric lighting, deep blacks, rich fine detail, vertical 9:16 composition, main subject in the upper two thirds, no text, no letters, no watermark, no logo. Scene: Phobos potato-shaped moon above Mars</t>
  </si>
  <si>
    <t xml:space="preserve">Cinematic photorealistic space visualization, NASA/ESA documentary style, dramatic volumetric lighting, deep blacks, rich fine detail, vertical 9:16 composition, main subject in the upper two thirds, no text, no letters, no watermark, no logo. Scene: Phobos spiraling closer to Mars, orbit trail</t>
  </si>
  <si>
    <t xml:space="preserve">Cinematic photorealistic space visualization, NASA/ESA documentary style, dramatic volumetric lighting, deep blacks, rich fine detail, vertical 9:16 composition, main subject in the upper two thirds, no text, no letters, no watermark, no logo. Scene: Phobos cracking from tidal stress</t>
  </si>
  <si>
    <t xml:space="preserve">Cinematic photorealistic space visualization, NASA/ESA documentary style, dramatic volumetric lighting, deep blacks, rich fine detail, vertical 9:16 composition, main subject in the upper two thirds, no text, no letters, no watermark, no logo. Scene: Debris ring forming around Mars</t>
  </si>
  <si>
    <t xml:space="preserve">Cinematic photorealistic space visualization, NASA/ESA documentary style, dramatic volumetric lighting, deep blacks, rich fine detail, vertical 9:16 composition, main subject in the upper two thirds, no text, no letters, no watermark, no logo. Scene: Mars with a thin ring, sunrise view</t>
  </si>
  <si>
    <t xml:space="preserve">Cinematic photorealistic space visualization, NASA/ESA documentary style, dramatic volumetric lighting, deep blacks, rich fine detail, vertical 9:16 composition, main subject in the upper two thirds, no text, no letters, no watermark, no logo. Scene: Deimos small and distant</t>
  </si>
  <si>
    <t xml:space="preserve">rumble, glass_crack</t>
  </si>
  <si>
    <t xml:space="preserve">La lune de Mars qui va s'écraser 🌌
Anneau ou crash, tu choisis quoi ?
#espace #planetes #systemesolaire #astronomie #science #shorts</t>
  </si>
  <si>
    <t xml:space="preserve">Produis la vidéo C14 « La lune de Mars qui va s'écraser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rumble, glass_crack + musique « mystery » depuis la banque (-18 dB sous la voix, ducking). 6) Remotion : composition SpaceShort 1080×1920 30 fps, scènes calées sur les phrases, Ken Burns + parallaxe, sous-titres karaoké. 7) Contrôle qualité puis programmation BrightBean le J27 à 19:00 avec la légende fournie, label contenu IA activé.</t>
  </si>
  <si>
    <t xml:space="preserve">D14</t>
  </si>
  <si>
    <t xml:space="preserve">Les trous noirs s'évaporent</t>
  </si>
  <si>
    <t xml:space="preserve">Les trous noirs ne sont pas éternels. En 1974, Stephen Hawking montre qu'ils émettent un très faible rayonnement, à cause d'effets quantiques près de l'horizon. Ils perdent donc de l'énergie, et s'évaporent. Mais très lentement. Un trou noir de la masse du Soleil mettrait environ 10 puissance 67 années à disparaître. Un 1 suivi de 67 zéros. L'univers n'a que 13,8 milliards d'années. Dans un futur inimaginablement lointain, les derniers trous noirs s'éteindront. Et l'univers sera plongé dans le noir.</t>
  </si>
  <si>
    <t xml:space="preserve">Cinematic photorealistic space visualization, NASA/ESA documentary style, dramatic volumetric lighting, deep blacks, rich fine detail, vertical 9:16 composition, main subject in the upper two thirds, no text, no letters, no watermark, no logo. Scene: Black hole with faint glowing radiation</t>
  </si>
  <si>
    <t xml:space="preserve">Cinematic photorealistic space visualization, NASA/ESA documentary style, dramatic volumetric lighting, deep blacks, rich fine detail, vertical 9:16 composition, main subject in the upper two thirds, no text, no letters, no watermark, no logo. Scene: Quantum particles near an event horizon, abstract</t>
  </si>
  <si>
    <t xml:space="preserve">Cinematic photorealistic space visualization, NASA/ESA documentary style, dramatic volumetric lighting, deep blacks, rich fine detail, vertical 9:16 composition, main subject in the upper two thirds, no text, no letters, no watermark, no logo. Scene: Black hole shrinking over time</t>
  </si>
  <si>
    <t xml:space="preserve">Cinematic photorealistic space visualization, NASA/ESA documentary style, dramatic volumetric lighting, deep blacks, rich fine detail, vertical 9:16 composition, main subject in the upper two thirds, no text, no letters, no watermark, no logo. Scene: Giant number 10^67 in stars</t>
  </si>
  <si>
    <t xml:space="preserve">Cinematic photorealistic space visualization, NASA/ESA documentary style, dramatic volumetric lighting, deep blacks, rich fine detail, vertical 9:16 composition, main subject in the upper two thirds, no text, no letters, no watermark, no logo. Scene: Final flash of an evaporating black hole</t>
  </si>
  <si>
    <t xml:space="preserve">Cinematic photorealistic space visualization, NASA/ESA documentary style, dramatic volumetric lighting, deep blacks, rich fine detail, vertical 9:16 composition, main subject in the upper two thirds, no text, no letters, no watermark, no logo. Scene: Dark empty universe</t>
  </si>
  <si>
    <t xml:space="preserve">riser, static</t>
  </si>
  <si>
    <t xml:space="preserve">Les trous noirs s'évaporent 🌌
10^67 ans, ça te donne le vertige ?
#espace #trounoir #etoiles #astrophysique #science #shorts</t>
  </si>
  <si>
    <t xml:space="preserve">Produis la vidéo D14 « Les trous noirs s'évaporent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riser, static + musique « mystery » depuis la banque (-18 dB sous la voix, ducking). 6) Remotion : composition SpaceShort 1080×1920 30 fps, scènes calées sur les phrases, Ken Burns + parallaxe, sous-titres karaoké. 7) Contrôle qualité puis programmation BrightBean le J28 à 08:00 avec la légende fournie, label contenu IA activé.</t>
  </si>
  <si>
    <t xml:space="preserve">E14</t>
  </si>
  <si>
    <t xml:space="preserve">Philae, l'atterrisseur qui a rebondi</t>
  </si>
  <si>
    <t xml:space="preserve">En 2004, l'Agence spatiale européenne lance la sonde Rosetta. Objectif : rattraper une comète. Dix ans de voyage. Le 12 novembre 2014, elle largue le petit robot Philae sur la comète 67P. Première fois qu'on se pose sur une comète. Mais les harpons qui devaient l'accrocher ne se déclenchent pas. Philae rebondit plusieurs fois et finit coincé à l'ombre d'une falaise. Privé de soleil, il s'endort. Pourtant, il a eu le temps d'envoyer des données précieuses. Il sera retrouvé en photo en 2016.</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</si>
  <si>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Rosetta spacecraft approaching a duck-shaped comet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</si>
  <si>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Comet 67P with jets of gas</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</si>
  <si>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Small Philae lander descending</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</si>
  <si>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Lander bouncing off the comet surface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</si>
  <si>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Philae wedged in shadow against a cliff</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</si>
  <si>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Blurry photo-like view of a lander in rocks</t>
  </si>
  <si>
    <t xml:space="preserve">beep, whoosh, deep_boom</t>
  </si>
  <si>
    <t xml:space="preserve">Philae, l'atterrisseur qui a rebondi 🌌
Tu te souviens de Philae ?
#espace #histoire #conquetespatiale #nasa #science #shorts</t>
  </si>
  <si>
    <t xml:space="preserve">Produis la vidéo E14 « Philae, l'atterrisseur qui a rebondi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beep, whoosh, deep_boom + musique « wonder » depuis la banque (-18 dB sous la voix, ducking). 6) Remotion : composition SpaceShort 1080×1920 30 fps, scènes calées sur les phrases, Ken Burns + parallaxe, sous-titres karaoké. 7) Contrôle qualité puis programmation BrightBean le J28 à 12:30 avec la légende fournie, label contenu IA activé.</t>
  </si>
  <si>
    <t xml:space="preserve">F14</t>
  </si>
  <si>
    <t xml:space="preserve">Il y a bien de la gravité sur la Lune</t>
  </si>
  <si>
    <t xml:space="preserve">Sur la Lune, pas de gravité ? Si. Elle est environ six fois plus faible que sur Terre. Si tu pèses 70 kilos, tu aurais l'impression d'en peser une douzaine. C'est pour ça que les astronautes d'Apollo sautillaient. Marcher normalement était difficile : ils avançaient en petits bonds. Et ils tombaient souvent, avec des combinaisons rigides. En 1971, l'astronaute Alan Shepard a même frappé des balles de golf sur la Lune. Avec une gravité aussi faible et sans air, elles ont parcouru une bonne distance.</t>
  </si>
  <si>
    <t xml:space="preserve">Cinematic photorealistic space visualization, NASA/ESA documentary style, dramatic volumetric lighting, deep blacks, rich fine detail, vertical 9:16 composition, main subject in the upper two thirds, no text, no letters, no watermark, no logo. Scene: Astronaut bounding across the lunar surface</t>
  </si>
  <si>
    <t xml:space="preserve">Cinematic photorealistic space visualization, NASA/ESA documentary style, dramatic volumetric lighting, deep blacks, rich fine detail, vertical 9:16 composition, main subject in the upper two thirds, no text, no letters, no watermark, no logo. Scene: Scale showing 70 kg vs 12 kg on the Moon</t>
  </si>
  <si>
    <t xml:space="preserve">Cinematic photorealistic space visualization, NASA/ESA documentary style, dramatic volumetric lighting, deep blacks, rich fine detail, vertical 9:16 composition, main subject in the upper two thirds, no text, no letters, no watermark, no logo. Scene: Astronaut falling softly in lunar dust</t>
  </si>
  <si>
    <t xml:space="preserve">Cinematic photorealistic space visualization, NASA/ESA documentary style, dramatic volumetric lighting, deep blacks, rich fine detail, vertical 9:16 composition, main subject in the upper two thirds, no text, no letters, no watermark, no logo. Scene: Golf ball flying over the lunar horizon</t>
  </si>
  <si>
    <t xml:space="preserve">Cinematic photorealistic space visualization, NASA/ESA documentary style, dramatic volumetric lighting, deep blacks, rich fine detail, vertical 9:16 composition, main subject in the upper two thirds, no text, no letters, no watermark, no logo. Scene: Footprints in lunar regolith</t>
  </si>
  <si>
    <t xml:space="preserve">Cinematic photorealistic space visualization, NASA/ESA documentary style, dramatic volumetric lighting, deep blacks, rich fine detail, vertical 9:16 composition, main subject in the upper two thirds, no text, no letters, no watermark, no logo. Scene: Earth hanging in the black lunar sky</t>
  </si>
  <si>
    <t xml:space="preserve">Il y a bien de la gravité sur la Lune 🌌
Tu irais faire un golf sur la Lune ?
#espace #idéesreçues #science #astronomie #lesavaistu #shorts</t>
  </si>
  <si>
    <t xml:space="preserve">Produis la vidéo F14 « Il y a bien de la gravité sur la Lune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wonder » depuis la banque (-18 dB sous la voix, ducking). 6) Remotion : composition SpaceShort 1080×1920 30 fps, scènes calées sur les phrases, Ken Burns + parallaxe, sous-titres karaoké. 7) Contrôle qualité puis programmation BrightBean le J28 à 19:00 avec la légende fournie, label contenu IA activé.</t>
  </si>
  <si>
    <t xml:space="preserve">A15</t>
  </si>
  <si>
    <t xml:space="preserve">Et si la Terre avait deux soleils ?</t>
  </si>
  <si>
    <t xml:space="preserve">Deux soleils dans le ciel, comme Tatooine ? Ça existe vraiment. En 2011, le télescope Kepler découvre Kepler-16b, une planète qui tourne autour de deux étoiles à la fois. Depuis sa surface, on verrait deux couchers de soleil, parfois presque simultanés. Deux ombres derrière chaque objet. Des éclipses quand une étoile passe devant l'autre. Kepler-16b est une géante gazeuse froide, pas vraiment accueillante. Mais on connaît aujourd'hui plusieurs de ces planètes circumbinaires. La science-fiction avait juste un peu d'avance.</t>
  </si>
  <si>
    <t xml:space="preserve">Cinematic photorealistic space visualization, NASA/ESA documentary style, dramatic volumetric lighting, deep blacks, rich fine detail, vertical 9:16 composition, main subject in the upper two thirds, no text, no letters, no watermark, no logo. Scene: Two suns setting over an alien horizon</t>
  </si>
  <si>
    <t xml:space="preserve">Cinematic photorealistic space visualization, NASA/ESA documentary style, dramatic volumetric lighting, deep blacks, rich fine detail, vertical 9:16 composition, main subject in the upper two thirds, no text, no letters, no watermark, no logo. Scene: Kepler space telescope in orbit</t>
  </si>
  <si>
    <t xml:space="preserve">Cinematic photorealistic space visualization, NASA/ESA documentary style, dramatic volumetric lighting, deep blacks, rich fine detail, vertical 9:16 composition, main subject in the upper two thirds, no text, no letters, no watermark, no logo. Scene: Gas giant orbiting a binary star pair</t>
  </si>
  <si>
    <t xml:space="preserve">Cinematic photorealistic space visualization, NASA/ESA documentary style, dramatic volumetric lighting, deep blacks, rich fine detail, vertical 9:16 composition, main subject in the upper two thirds, no text, no letters, no watermark, no logo. Scene: Person casting two shadows on alien sand</t>
  </si>
  <si>
    <t xml:space="preserve">Cinematic photorealistic space visualization, NASA/ESA documentary style, dramatic volumetric lighting, deep blacks, rich fine detail, vertical 9:16 composition, main subject in the upper two thirds, no text, no letters, no watermark, no logo. Scene: One star eclipsing another, dramatic lighting</t>
  </si>
  <si>
    <t xml:space="preserve">Cinematic photorealistic space visualization, NASA/ESA documentary style, dramatic volumetric lighting, deep blacks, rich fine detail, vertical 9:16 composition, main subject in the upper two thirds, no text, no letters, no watermark, no logo. Scene: Several circumbinary planets in a star map</t>
  </si>
  <si>
    <t xml:space="preserve">Et si la Terre avait deux soleils ? 🌌
Deux couchers de soleil, ça te tente ?
#espace #etsi #science #univers #astronomie #shorts</t>
  </si>
  <si>
    <t xml:space="preserve">Produis la vidéo A15 « Et si la Terre avait deux soleils ?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chime + musique « wonder » depuis la banque (-18 dB sous la voix, ducking). 6) Remotion : composition SpaceShort 1080×1920 30 fps, scènes calées sur les phrases, Ken Burns + parallaxe, sous-titres karaoké. 7) Contrôle qualité puis programmation BrightBean le J29 à 08:00 avec la légende fournie, label contenu IA activé.</t>
  </si>
  <si>
    <t xml:space="preserve">B15</t>
  </si>
  <si>
    <t xml:space="preserve">L'histoire de l'univers en une année</t>
  </si>
  <si>
    <t xml:space="preserve">Compressons les 13,8 milliards d'années de l'univers en une seule année. 1er janvier, minuit : le Big Bang. Mi-mars : la Voie lactée prend forme. Début septembre : le Soleil et la Terre naissent. Les dinosaures ? Ils arrivent le 25 décembre. Et Homo sapiens apparaît le 31 décembre... vers 23 h 48. Toute l'histoire écrite, les pyramides, Rome, la Lune, internet ? Elle tient dans les 13 dernières secondes avant minuit. On est arrivés très, très tard à la fête.</t>
  </si>
  <si>
    <t xml:space="preserve">Cinematic photorealistic space visualization, NASA/ESA documentary style, dramatic volumetric lighting, deep blacks, rich fine detail, vertical 9:16 composition, main subject in the upper two thirds, no text, no letters, no watermark, no logo. Scene: Calendar page January 1 with a Big Bang explosion</t>
  </si>
  <si>
    <t xml:space="preserve">Cinematic photorealistic space visualization, NASA/ESA documentary style, dramatic volumetric lighting, deep blacks, rich fine detail, vertical 9:16 composition, main subject in the upper two thirds, no text, no letters, no watermark, no logo. Scene: Spiral galaxy forming, March calendar</t>
  </si>
  <si>
    <t xml:space="preserve">Cinematic photorealistic space visualization, NASA/ESA documentary style, dramatic volumetric lighting, deep blacks, rich fine detail, vertical 9:16 composition, main subject in the upper two thirds, no text, no letters, no watermark, no logo. Scene: Young Sun and protoplanetary disk, September</t>
  </si>
  <si>
    <t xml:space="preserve">Cinematic photorealistic space visualization, NASA/ESA documentary style, dramatic volumetric lighting, deep blacks, rich fine detail, vertical 9:16 composition, main subject in the upper two thirds, no text, no letters, no watermark, no logo. Scene: Dinosaurs with a Christmas date overlay, playful</t>
  </si>
  <si>
    <t xml:space="preserve">Cinematic photorealistic space visualization, NASA/ESA documentary style, dramatic volumetric lighting, deep blacks, rich fine detail, vertical 9:16 composition, main subject in the upper two thirds, no text, no letters, no watermark, no logo. Scene: Clock showing 23:48 with early humans</t>
  </si>
  <si>
    <t xml:space="preserve">Cinematic photorealistic space visualization, NASA/ESA documentary style, dramatic volumetric lighting, deep blacks, rich fine detail, vertical 9:16 composition, main subject in the upper two thirds, no text, no letters, no watermark, no logo. Scene: Fireworks at midnight over pyramids and a rocket</t>
  </si>
  <si>
    <t xml:space="preserve">chime, whoosh, deep_boom</t>
  </si>
  <si>
    <t xml:space="preserve">L'histoire de l'univers en une année 🌌
Tu savais qu'on était arrivés si tard ?
#espace #univers #astronomie #science #vertige #shorts</t>
  </si>
  <si>
    <t xml:space="preserve">Produis la vidéo B15 « L'histoire de l'univers en une année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chime, whoosh, deep_boom + musique « wonder » depuis la banque (-18 dB sous la voix, ducking). 6) Remotion : composition SpaceShort 1080×1920 30 fps, scènes calées sur les phrases, Ken Burns + parallaxe, sous-titres karaoké. 7) Contrôle qualité puis programmation BrightBean le J29 à 12:30 avec la légende fournie, label contenu IA activé.</t>
  </si>
  <si>
    <t xml:space="preserve">C15</t>
  </si>
  <si>
    <t xml:space="preserve">Le sommet le plus loin du centre de la Terre</t>
  </si>
  <si>
    <t xml:space="preserve">Quel est le point de la Terre le plus éloigné de son centre ? Pas l'Everest. C'est le Chimborazo, un volcan d'Équateur. Pourquoi ? La Terre n'est pas une sphère parfaite. Sa rotation la rend un peu plus large à l'équateur, d'environ 21 kilomètres de rayon en plus. Le Chimborazo, tout proche de l'équateur, profite de ce bourrelet. Son sommet est environ deux kilomètres plus loin du centre que celui de l'Everest. L'Everest reste le plus haut au-dessus du niveau de la mer.</t>
  </si>
  <si>
    <t xml:space="preserve">Cinematic photorealistic space visualization, NASA/ESA documentary style, dramatic volumetric lighting, deep blacks, rich fine detail, vertical 9:16 composition, main subject in the upper two thirds, no text, no letters, no watermark, no logo. Scene: Chimborazo snowy volcano in Ecuador</t>
  </si>
  <si>
    <t xml:space="preserve">Cinematic photorealistic space visualization, NASA/ESA documentary style, dramatic volumetric lighting, deep blacks, rich fine detail, vertical 9:16 composition, main subject in the upper two thirds, no text, no letters, no watermark, no logo. Scene: Everest peak in the Himalayas</t>
  </si>
  <si>
    <t xml:space="preserve">Cinematic photorealistic space visualization, NASA/ESA documentary style, dramatic volumetric lighting, deep blacks, rich fine detail, vertical 9:16 composition, main subject in the upper two thirds, no text, no letters, no watermark, no logo. Scene: Earth slightly flattened, exaggerated oblate shape</t>
  </si>
  <si>
    <t xml:space="preserve">Cinematic photorealistic space visualization, NASA/ESA documentary style, dramatic volumetric lighting, deep blacks, rich fine detail, vertical 9:16 composition, main subject in the upper two thirds, no text, no letters, no watermark, no logo. Scene: Equatorial bulge diagram-like render</t>
  </si>
  <si>
    <t xml:space="preserve">Cinematic photorealistic space visualization, NASA/ESA documentary style, dramatic volumetric lighting, deep blacks, rich fine detail, vertical 9:16 composition, main subject in the upper two thirds, no text, no letters, no watermark, no logo. Scene: Lines from Earth's center to both summits</t>
  </si>
  <si>
    <t xml:space="preserve">Cinematic photorealistic space visualization, NASA/ESA documentary style, dramatic volumetric lighting, deep blacks, rich fine detail, vertical 9:16 composition, main subject in the upper two thirds, no text, no letters, no watermark, no logo. Scene: Chimborazo summit at sunrise</t>
  </si>
  <si>
    <t xml:space="preserve">Le sommet le plus loin du centre de la Terre 🌌
Tu connaissais le Chimborazo ?
#espace #planetes #systemesolaire #astronomie #science #shorts</t>
  </si>
  <si>
    <t xml:space="preserve">Produis la vidéo C15 « Le sommet le plus loin du centre de la Terre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wind, chime + musique « calm » depuis la banque (-18 dB sous la voix, ducking). 6) Remotion : composition SpaceShort 1080×1920 30 fps, scènes calées sur les phrases, Ken Burns + parallaxe, sous-titres karaoké. 7) Contrôle qualité puis programmation BrightBean le J29 à 19:00 avec la légende fournie, label contenu IA activé.</t>
  </si>
  <si>
    <t xml:space="preserve">D15</t>
  </si>
  <si>
    <t xml:space="preserve">Le quasar le plus brillant de l'univers</t>
  </si>
  <si>
    <t xml:space="preserve">En 2024, des astronomes annoncent un record : le quasar J0529-4351, l'objet le plus lumineux connu. Il brille environ 500 000 milliards de fois plus que le Soleil. Un quasar, c'est un trou noir supermassif en pleine digestion : la matière qui tombe dedans chauffe et s'illumine. Celui-ci avalerait l'équivalent d'environ un Soleil par jour. Sa lumière a voyagé plus de 12 milliards d'années pour nous atteindre. On le connaissait déjà, mais on l'avait pris pour une étoile banale.</t>
  </si>
  <si>
    <t xml:space="preserve">Cinematic photorealistic space visualization, NASA/ESA documentary style, dramatic volumetric lighting, deep blacks, rich fine detail, vertical 9:16 composition, main subject in the upper two thirds, no text, no letters, no watermark, no logo. Scene: Extremely bright quasar with jets</t>
  </si>
  <si>
    <t xml:space="preserve">Cinematic photorealistic space visualization, NASA/ESA documentary style, dramatic volumetric lighting, deep blacks, rich fine detail, vertical 9:16 composition, main subject in the upper two thirds, no text, no letters, no watermark, no logo. Scene: Brightness comparison bar with the Sun</t>
  </si>
  <si>
    <t xml:space="preserve">Cinematic photorealistic space visualization, NASA/ESA documentary style, dramatic volumetric lighting, deep blacks, rich fine detail, vertical 9:16 composition, main subject in the upper two thirds, no text, no letters, no watermark, no logo. Scene: Accretion disk devouring matter</t>
  </si>
  <si>
    <t xml:space="preserve">Cinematic photorealistic space visualization, NASA/ESA documentary style, dramatic volumetric lighting, deep blacks, rich fine detail, vertical 9:16 composition, main subject in the upper two thirds, no text, no letters, no watermark, no logo. Scene: Star being swallowed, one per day concept</t>
  </si>
  <si>
    <t xml:space="preserve">Cinematic photorealistic space visualization, NASA/ESA documentary style, dramatic volumetric lighting, deep blacks, rich fine detail, vertical 9:16 composition, main subject in the upper two thirds, no text, no letters, no watermark, no logo. Scene: Ancient light traveling through the universe</t>
  </si>
  <si>
    <t xml:space="preserve">Cinematic photorealistic space visualization, NASA/ESA documentary style, dramatic volumetric lighting, deep blacks, rich fine detail, vertical 9:16 composition, main subject in the upper two thirds, no text, no letters, no watermark, no logo. Scene: Faint dot in a star catalog, overlooked</t>
  </si>
  <si>
    <t xml:space="preserve">Le quasar le plus brillant de l'univers 🌌
Un Soleil avalé par jour, tu te rends compte ?
#espace #trounoir #etoiles #astrophysique #science #shorts</t>
  </si>
  <si>
    <t xml:space="preserve">Produis la vidéo D15 « Le quasar le plus brillant de l'univers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deep_boom, riser + musique « epic » depuis la banque (-18 dB sous la voix, ducking). 6) Remotion : composition SpaceShort 1080×1920 30 fps, scènes calées sur les phrases, Ken Burns + parallaxe, sous-titres karaoké. 7) Contrôle qualité puis programmation BrightBean le J30 à 08:00 avec la légende fournie, label contenu IA activé.</t>
  </si>
  <si>
    <t xml:space="preserve">E15</t>
  </si>
  <si>
    <t xml:space="preserve">Les fusées qui reviennent se poser</t>
  </si>
  <si>
    <t xml:space="preserve">Pendant des décennies, les fusées étaient jetables. On les construisait pour un seul vol. Le 21 décembre 2015, SpaceX fait atterrir verticalement le premier étage d'une fusée Falcon 9 après un vol orbital. Réutiliser les fusées, c'est diviser les coûts. Et en octobre 2024, encore plus fou : le premier étage géant de Starship est rattrapé en plein vol par les bras de sa tour de lancement. Surnommés les baguettes. Ce qui ressemblait à de la science-fiction est devenu de la routine.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</si>
  <si>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Rocket booster landing vertically with flames at night</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</si>
  <si>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Disposable rocket stage falling into the sea, retro</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</si>
  <si>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Two boosters landing side by side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</si>
  <si>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Giant booster approaching tower arms</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</si>
  <si>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Tower chopsticks catching a booster</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</si>
  <si>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Launch pad at sunrise with a reusable rocket</t>
  </si>
  <si>
    <t xml:space="preserve">launch, rumble</t>
  </si>
  <si>
    <t xml:space="preserve">Les fusées qui reviennent se poser 🌌
Tu as vu la vidéo de la tour qui attrape la fusée ?
#espace #histoire #conquetespatiale #nasa #science #shorts</t>
  </si>
  <si>
    <t xml:space="preserve">Produis la vidéo E15 « Les fusées qui reviennent se poser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launch, rumble + musique « epic » depuis la banque (-18 dB sous la voix, ducking). 6) Remotion : composition SpaceShort 1080×1920 30 fps, scènes calées sur les phrases, Ken Burns + parallaxe, sous-titres karaoké. 7) Contrôle qualité puis programmation BrightBean le J30 à 12:30 avec la légende fournie, label contenu IA activé.</t>
  </si>
  <si>
    <t xml:space="preserve">F15</t>
  </si>
  <si>
    <t xml:space="preserve">La ceinture d'astéroïdes est presque vide</t>
  </si>
  <si>
    <t xml:space="preserve">Dans les films, les vaisseaux zigzaguent entre des astéroïdes serrés. En réalité, la ceinture d'astéroïdes est presque vide. Il y a des millions d'astéroïdes, mais répartis sur un espace immense. Entre deux gros astéroïdes, il y a souvent des centaines de milliers de kilomètres. Si tu étais sur l'un d'eux, tu ne verrais probablement pas le suivant à l'œil nu. Les sondes qui la traversent n'ont pas besoin de l'esquiver. Et toute sa masse réunie fait moins que 5 % de notre Lune.</t>
  </si>
  <si>
    <t xml:space="preserve">Cinematic photorealistic space visualization, NASA/ESA documentary style, dramatic volumetric lighting, deep blacks, rich fine detail, vertical 9:16 composition, main subject in the upper two thirds, no text, no letters, no watermark, no logo. Scene: Movie-style crowded asteroid field, myth framing</t>
  </si>
  <si>
    <t xml:space="preserve">Cinematic photorealistic space visualization, NASA/ESA documentary style, dramatic volumetric lighting, deep blacks, rich fine detail, vertical 9:16 composition, main subject in the upper two thirds, no text, no letters, no watermark, no logo. Scene: Realistic asteroid belt: sparse, huge distances</t>
  </si>
  <si>
    <t xml:space="preserve">Cinematic photorealistic space visualization, NASA/ESA documentary style, dramatic volumetric lighting, deep blacks, rich fine detail, vertical 9:16 composition, main subject in the upper two thirds, no text, no letters, no watermark, no logo. Scene: Lone asteroid with empty space around</t>
  </si>
  <si>
    <t xml:space="preserve">Cinematic photorealistic space visualization, NASA/ESA documentary style, dramatic volumetric lighting, deep blacks, rich fine detail, vertical 9:16 composition, main subject in the upper two thirds, no text, no letters, no watermark, no logo. Scene: Spacecraft cruising calmly through the belt</t>
  </si>
  <si>
    <t xml:space="preserve">Cinematic photorealistic space visualization, NASA/ESA documentary style, dramatic volumetric lighting, deep blacks, rich fine detail, vertical 9:16 composition, main subject in the upper two thirds, no text, no letters, no watermark, no logo. Scene: Ceres dwarf planet in the belt</t>
  </si>
  <si>
    <t xml:space="preserve">Cinematic photorealistic space visualization, NASA/ESA documentary style, dramatic volumetric lighting, deep blacks, rich fine detail, vertical 9:16 composition, main subject in the upper two thirds, no text, no letters, no watermark, no logo. Scene: All asteroids combined into a small sphere next to the Moon</t>
  </si>
  <si>
    <t xml:space="preserve">La ceinture d'astéroïdes est presque vide 🌌
Merci Hollywood, non ?
#espace #idéesreçues #science #astronomie #lesavaistu #shorts</t>
  </si>
  <si>
    <t xml:space="preserve">Produis la vidéo F15 « La ceinture d'astéroïdes est presque vide ». 1) Voix : ElevenLabs v3 via fal, voix narrateur FR validée, texte = colonne Script. 2) Timestamps mot à mot : Scribe v2 via fal, puis réaligne sur le texte exact du script. 3) Images : 6 × FLUX.2 [pro] en 1024×1792 avec les prompts Scène 1 à 6. 4) Mouvement : anime la Scène 1 (hook) en 5 s avec Kling image-to-video, caméra lente, sans audio. 5) Audio : SFX whoosh + musique « calm » depuis la banque (-18 dB sous la voix, ducking). 6) Remotion : composition SpaceShort 1080×1920 30 fps, scènes calées sur les phrases, Ken Burns + parallaxe, sous-titres karaoké. 7) Contrôle qualité puis programmation BrightBean le J30 à 19:00 avec la légende fournie, label contenu IA activé.</t>
  </si>
  <si>
    <t xml:space="preserve">Budget par vidéo (USD, prix fal.ai relevés fin sept. 2026)</t>
  </si>
  <si>
    <t xml:space="preserve">Paramètres généraux</t>
  </si>
  <si>
    <t xml:space="preserve">Valeur</t>
  </si>
  <si>
    <t xml:space="preserve">Source / hypothèse</t>
  </si>
  <si>
    <t xml:space="preserve">Date de la 1re publication</t>
  </si>
  <si>
    <t xml:space="preserve">À adapter.</t>
  </si>
  <si>
    <t xml:space="preserve">Débit de lecture de la voix (caractères / seconde)</t>
  </si>
  <si>
    <t xml:space="preserve">Hypothèse : narration FR dynamique ~14-16 car/s.</t>
  </si>
  <si>
    <t xml:space="preserve">Nombre moyen de caractères par script</t>
  </si>
  <si>
    <t xml:space="preserve">Calculé depuis le Calendrier.</t>
  </si>
  <si>
    <t xml:space="preserve">Durée moyenne d'une vidéo (minutes)</t>
  </si>
  <si>
    <t xml:space="preserve">Calculé.</t>
  </si>
  <si>
    <t xml:space="preserve">Vidéos par jour</t>
  </si>
  <si>
    <t xml:space="preserve">Ton objectif.</t>
  </si>
  <si>
    <t xml:space="preserve">Jours dans le plan</t>
  </si>
  <si>
    <t xml:space="preserve">90 vidéos.</t>
  </si>
  <si>
    <t xml:space="preserve">Marge de régénération (images ratées, reprises voix)</t>
  </si>
  <si>
    <t xml:space="preserve">Hypothèse : +30 % de générations pour les ratés.</t>
  </si>
  <si>
    <t xml:space="preserve">Taux USD → EUR</t>
  </si>
  <si>
    <t xml:space="preserve">Hypothèse à mettre à jour avec le cours du jour.</t>
  </si>
  <si>
    <t xml:space="preserve">Hypothèses par formule</t>
  </si>
  <si>
    <t xml:space="preserve">Éco</t>
  </si>
  <si>
    <t xml:space="preserve">Standard</t>
  </si>
  <si>
    <t xml:space="preserve">Premium</t>
  </si>
  <si>
    <t xml:space="preserve">Images par vidéo</t>
  </si>
  <si>
    <t xml:space="preserve">Standard = 6 scènes du calendrier ; Premium ajoute 2 plans.</t>
  </si>
  <si>
    <t xml:space="preserve">Prix par image (USD)</t>
  </si>
  <si>
    <t xml:space="preserve">Éco : FLUX.2 [dev] 0,012 $/MP × ~1,75 MP. Std/Premium : FLUX.2 [pro] 0,03 $ le 1er MP + 0,015 $/MP suivant, 1024×1792 arrondi à 2 MP (fal.ai).</t>
  </si>
  <si>
    <t xml:space="preserve">Voix : prix pour 1 000 caractères (USD)</t>
  </si>
  <si>
    <t xml:space="preserve">Éco : Eleven v4 Turbo 0,04 $. Std/Premium : Eleven v3 0,10 $ (fal.ai).</t>
  </si>
  <si>
    <t xml:space="preserve">Transcription mot à mot : prix par minute (USD)</t>
  </si>
  <si>
    <t xml:space="preserve">ElevenLabs Scribe v2 sur fal.ai : 0,008 $/min.</t>
  </si>
  <si>
    <t xml:space="preserve">Clips animés par vidéo</t>
  </si>
  <si>
    <t xml:space="preserve">Nombre de plans image-to-video.</t>
  </si>
  <si>
    <t xml:space="preserve">Durée d'un clip (s)</t>
  </si>
  <si>
    <t xml:space="preserve">Prix vidéo par seconde (USD)</t>
  </si>
  <si>
    <t xml:space="preserve">Std : Kling 2.5 Turbo Pro 0,07 $/s. Premium : Kling v3 Pro sans audio 0,112 $/s (fal.ai).</t>
  </si>
  <si>
    <t xml:space="preserve">SFX spécifiques générés par vidéo</t>
  </si>
  <si>
    <t xml:space="preserve">La banque couvre l'essentiel ; on n'en génère que pour les plans signature.</t>
  </si>
  <si>
    <t xml:space="preserve">Prix par SFX (USD, estimation)</t>
  </si>
  <si>
    <t xml:space="preserve">Estimation ~0,02 $/effet (tarif ElevenLabs SFX constaté chez d'autres revendeurs) : à vérifier sur fal.</t>
  </si>
  <si>
    <t xml:space="preserve">Coût banque audio unique (USD)</t>
  </si>
  <si>
    <t xml:space="preserve">6 musiques × 1 min à 0,80 $/min (ElevenLabs Music) + 12 SFX. Éco : musiques libres de droits.</t>
  </si>
  <si>
    <t xml:space="preserve">Coût par vidéo (USD)</t>
  </si>
  <si>
    <t xml:space="preserve">Images</t>
  </si>
  <si>
    <t xml:space="preserve">Coûts fixes non comptés : BrightBean (self-host, ton serveur), rendu Remotion en local (gratuit), licence Remotion gratuite pour un indépendant ou une entreprise de 3 personnes max.</t>
  </si>
  <si>
    <t xml:space="preserve">Voix off</t>
  </si>
  <si>
    <t xml:space="preserve">Transcription / sous-titres</t>
  </si>
  <si>
    <t xml:space="preserve">Clips animés</t>
  </si>
  <si>
    <t xml:space="preserve">SFX spécifiques</t>
  </si>
  <si>
    <t xml:space="preserve">Banque audio amortie</t>
  </si>
  <si>
    <t xml:space="preserve">Sous-total</t>
  </si>
  <si>
    <t xml:space="preserve">Marge de régénération</t>
  </si>
  <si>
    <t xml:space="preserve">TOTAL PAR VIDÉO (USD)</t>
  </si>
  <si>
    <t xml:space="preserve">Total par vidéo (EUR)</t>
  </si>
  <si>
    <t xml:space="preserve">Par jour (EUR)</t>
  </si>
  <si>
    <t xml:space="preserve">Pour les 90 vidéos (EUR)</t>
  </si>
  <si>
    <t xml:space="preserve">Format</t>
  </si>
  <si>
    <t xml:space="preserve">Vertical 1080×1920, 30 fps, 30 à 45 s. Hook dans les 2 premières secondes (la 1re phrase du script est écrite pour ça).</t>
  </si>
  <si>
    <t xml:space="preserve">Préfixe image (séries A, B, C, D, F)</t>
  </si>
  <si>
    <t xml:space="preserve">Cinematic photorealistic space visualization, NASA/ESA documentary style, dramatic volumetric lighting, deep blacks, rich fine detail, vertical 9:16 composition, main subject in the upper two thirds, no text, no letters, no watermark, no logo. Scene: </t>
  </si>
  <si>
    <t xml:space="preserve">Préfixe image (série E, histoire)</t>
  </si>
  <si>
    <t xml:space="preserve">Cinematic historical recreation, 1950s-1970s space age atmosphere, subtle film grain, warm archival color grading, photorealistic, vertical 9:16 composition, main subject in the upper two thirds, no text, no letters, no watermark, no logo, no real identifiable faces. Scene: </t>
  </si>
  <si>
    <t xml:space="preserve">Modèle image</t>
  </si>
  <si>
    <t xml:space="preserve">fal-ai/flux-2-pro, image_size 1024×1792. Garder le seed de la scène 1 pour les variantes. Upscale léger dans Remotion (scale 1.06) pour le Ken Burns.</t>
  </si>
  <si>
    <t xml:space="preserve">Mouvement</t>
  </si>
  <si>
    <t xml:space="preserve">Scène 1 → Kling image-to-video 5 s (Standard : v2.5 Turbo Pro ; Premium : v3 Pro), prompt : « slow cinematic push-in, subtle particle drift, gentle parallax, no camera shake, no morphing ». Autres scènes : Ken Burns + parallaxe 2 couches dans Remotion.</t>
  </si>
  <si>
    <t xml:space="preserve">Voix</t>
  </si>
  <si>
    <t xml:space="preserve">fal-ai/elevenlabs/tts/eleven-v3, langue fr, une seule voix narrateur pour toute la chaîne (identité sonore). Stabilité ~0,5, style ~0,3. Tester 3 voix sur le script A01 avant de figer. Balises possibles : [whispers], [excited] avec parcimonie.</t>
  </si>
  <si>
    <t xml:space="preserve">Sous-titres (qualité)</t>
  </si>
  <si>
    <t xml:space="preserve">Timestamps mot à mot via Scribe v2, réalignés sur le texte exact du script (pas de faute de transcription). 2 à 4 mots par groupe, 1 ligne, 2 max. Police Montserrat ExtraBold ~78 px, blanc, contour noir 6 px + ombre douce. Mot prononcé en surbrillance (jaune #FFD84D) avec pop scale 1.08. Position : ~62 % de la hauteur (hors zone UI TikTok/Reels en bas et à droite). Chiffres clés en couleur accent.</t>
  </si>
  <si>
    <t xml:space="preserve">Audio</t>
  </si>
  <si>
    <t xml:space="preserve">Voix à -14 LUFS intégrés. Musique de la banque à ~-18 dB sous la voix avec ducking. SFX calés sur les changements de scène et les chiffres chocs. Fade out 1 s.</t>
  </si>
  <si>
    <t xml:space="preserve">Montage Remotion</t>
  </si>
  <si>
    <t xml:space="preserve">Composition « SpaceShort » : props = {id, script, words[], scenes[], clip, sfx[], music}. Chaque scène démarre sur le début d'une phrase (répartition proportionnelle au texte). Transitions : fondu 8 frames ou whoosh + zoom. Barre de progression fine en haut. Carton final 1,5 s avec la question de la légende.</t>
  </si>
  <si>
    <t xml:space="preserve">Couverture</t>
  </si>
  <si>
    <t xml:space="preserve">Frame de la scène 1 + titre court en gros (3-5 mots) généré dans Remotion (pas dans l'image IA).</t>
  </si>
  <si>
    <t xml:space="preserve">Publication</t>
  </si>
  <si>
    <t xml:space="preserve">BrightBean : TikTok, Reels, YouTube Shorts. Créneaux 08:00 / 12:30 / 19:00. Activer le label contenu généré par IA sur chaque plateforme. Légende = colonne S.</t>
  </si>
  <si>
    <t xml:space="preserve">Contrôle qualité</t>
  </si>
  <si>
    <t xml:space="preserve">Avant publication : relire le script, vérifier les sous-titres mot à mot, écarter toute image avec texte parasite, visage réel reconnaissable ou logo, écouter la vidéo en entier.</t>
  </si>
  <si>
    <t xml:space="preserve">PROMPT MAÎTRE</t>
  </si>
  <si>
    <t xml:space="preserve">Tu es mon producteur vidéo pour la chaîne Espace. Tu disposes des connecteurs BrightBean (publication), Remotion (rendu) et d'une clé fal.ai. Pour chaque ligne du Calendrier au statut « À produire » : 1) génère la voix avec le script exact, 2) récupère les timestamps mot à mot et réaligne-les sur le script, 3) génère les 6 images avec leurs prompts, 4) anime la scène 1, 5) récupère SFX et musique dans la banque, 6) monte avec la composition SpaceShort selon l'onglet Pipeline, 7) montre-moi la vidéo et un résumé des coûts avant de programmer, 8) après mon feu vert, programme-la sur BrightBean au créneau indiqué avec la légende. Travaille par lot de 3 vidéos (une journée). Si une image contient du texte, un logo ou un visage réel reconnaissable, régénère-la avec un autre seed. Ne publie jamais sans validation.</t>
  </si>
  <si>
    <t xml:space="preserve">Type</t>
  </si>
  <si>
    <t xml:space="preserve">Clé</t>
  </si>
  <si>
    <t xml:space="preserve">Prompt de génération (fal.ai)</t>
  </si>
  <si>
    <t xml:space="preserve">Utilisations</t>
  </si>
  <si>
    <t xml:space="preserve">Deep cinematic whoosh transition, airy, 1.5 seconds</t>
  </si>
  <si>
    <t xml:space="preserve">deep_boom</t>
  </si>
  <si>
    <t xml:space="preserve">Low cinematic sub boom impact with long reverb tail, 3 seconds</t>
  </si>
  <si>
    <t xml:space="preserve">riser</t>
  </si>
  <si>
    <t xml:space="preserve">Tension riser building up, synth and strings, 4 seconds</t>
  </si>
  <si>
    <t xml:space="preserve">rumble</t>
  </si>
  <si>
    <t xml:space="preserve">Deep seismic rumble, low frequency, 4 seconds</t>
  </si>
  <si>
    <t xml:space="preserve">Vintage spacecraft radio beep sequence, clean, 2 seconds</t>
  </si>
  <si>
    <t xml:space="preserve">heartbeat</t>
  </si>
  <si>
    <t xml:space="preserve">Slow tense heartbeat, muffled, 4 seconds</t>
  </si>
  <si>
    <t xml:space="preserve">wind</t>
  </si>
  <si>
    <t xml:space="preserve">Thin alien wind over a desert, ambient, 5 seconds</t>
  </si>
  <si>
    <t xml:space="preserve">crackle</t>
  </si>
  <si>
    <t xml:space="preserve">Hot crackling lava and sizzling rocks, 3 seconds</t>
  </si>
  <si>
    <t xml:space="preserve">glass_crack</t>
  </si>
  <si>
    <t xml:space="preserve">Ice or rock cracking under stress, sharp, 2 seconds</t>
  </si>
  <si>
    <t xml:space="preserve">launch</t>
  </si>
  <si>
    <t xml:space="preserve">Rocket engine ignition and roaring liftoff, distant, 5 seconds</t>
  </si>
  <si>
    <t xml:space="preserve">static</t>
  </si>
  <si>
    <t xml:space="preserve">Radio static burst with interference, 2 seconds</t>
  </si>
  <si>
    <t xml:space="preserve">Soft magical shimmer chime, sparkling, 2 seconds</t>
  </si>
  <si>
    <t xml:space="preserve">Epic cinematic space ambient, slow build, deep drums, choir pads, no vocals, loopable</t>
  </si>
  <si>
    <t xml:space="preserve">Mysterious dark space ambient, low drones, sparse piano, no vocals, loopable</t>
  </si>
  <si>
    <t xml:space="preserve">Wonder and awe space ambient, soft arpeggios, warm synth pads, no vocals, loopable</t>
  </si>
  <si>
    <t xml:space="preserve">Tense suspenseful sci-fi underscore, pulsing bass, ticking, no vocals, loopable</t>
  </si>
  <si>
    <t xml:space="preserve">1960s space race documentary underscore, retro analog synth and light orchestra, no vocals, loopable</t>
  </si>
  <si>
    <t xml:space="preserve">Calm contemplative space ambient, gentle pads, slow evolving, no vocals, loopable</t>
  </si>
  <si>
    <t xml:space="preserve">SFX : ElevenLabs Sound Effects via fal. Musiques : ElevenLabs Music via fal (0,80 $/min), 1 min chacune, bouclables. Générer 2 variantes par clé et garder la meilleure.</t>
  </si>
</sst>
</file>

<file path=xl/styles.xml><?xml version="1.0" encoding="utf-8"?>
<styleSheet xmlns="http://schemas.openxmlformats.org/spreadsheetml/2006/main">
  <numFmts count="8">
    <numFmt numFmtId="164" formatCode="General"/>
    <numFmt numFmtId="165" formatCode="dd/mm/yyyy"/>
    <numFmt numFmtId="166" formatCode="0"/>
    <numFmt numFmtId="167" formatCode="0.00"/>
    <numFmt numFmtId="168" formatCode="0%"/>
    <numFmt numFmtId="169" formatCode="0.000"/>
    <numFmt numFmtId="170" formatCode="0.000&quot; $&quot;"/>
    <numFmt numFmtId="171" formatCode="0.00&quot; €&quot;"/>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FFFFFF"/>
      <name val="Arial"/>
      <family val="0"/>
      <charset val="1"/>
    </font>
    <font>
      <sz val="10"/>
      <color rgb="FF0000FF"/>
      <name val="Arial"/>
      <family val="0"/>
      <charset val="1"/>
    </font>
    <font>
      <b val="true"/>
      <sz val="10"/>
      <name val="Arial"/>
      <family val="0"/>
      <charset val="1"/>
    </font>
  </fonts>
  <fills count="4">
    <fill>
      <patternFill patternType="none"/>
    </fill>
    <fill>
      <patternFill patternType="gray125"/>
    </fill>
    <fill>
      <patternFill patternType="solid">
        <fgColor rgb="FF1B2A4A"/>
        <bgColor rgb="FF003366"/>
      </patternFill>
    </fill>
    <fill>
      <patternFill patternType="solid">
        <fgColor rgb="FFFFFF00"/>
        <bgColor rgb="FFFFFF0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B2A4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
    <col collapsed="false" customWidth="true" hidden="false" outlineLevel="0" max="3" min="3" style="0" width="11"/>
    <col collapsed="false" customWidth="true" hidden="false" outlineLevel="0" max="4" min="4" style="0" width="7"/>
    <col collapsed="false" customWidth="true" hidden="false" outlineLevel="0" max="5" min="5" style="0" width="6"/>
    <col collapsed="false" customWidth="true" hidden="false" outlineLevel="0" max="6" min="6" style="0" width="18"/>
    <col collapsed="false" customWidth="true" hidden="false" outlineLevel="0" max="7" min="7" style="0" width="30"/>
    <col collapsed="false" customWidth="true" hidden="false" outlineLevel="0" max="8" min="8" style="0" width="70"/>
    <col collapsed="false" customWidth="true" hidden="false" outlineLevel="0" max="10" min="9" style="0" width="10"/>
    <col collapsed="false" customWidth="true" hidden="false" outlineLevel="0" max="16" min="11" style="0" width="45"/>
    <col collapsed="false" customWidth="true" hidden="false" outlineLevel="0" max="17" min="17" style="0" width="22"/>
    <col collapsed="false" customWidth="true" hidden="false" outlineLevel="0" max="18" min="18" style="0" width="10"/>
    <col collapsed="false" customWidth="true" hidden="false" outlineLevel="0" max="19" min="19" style="0" width="45"/>
    <col collapsed="false" customWidth="true" hidden="false" outlineLevel="0" max="20" min="20" style="0" width="70"/>
    <col collapsed="false" customWidth="true" hidden="false" outlineLevel="0" max="21" min="21" style="0" width="12"/>
  </cols>
  <sheetData>
    <row r="1" customFormat="false" ht="39.5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c r="S1" s="3" t="s">
        <v>26</v>
      </c>
      <c r="T1" s="3" t="s">
        <v>27</v>
      </c>
      <c r="U1" s="3" t="s">
        <v>28</v>
      </c>
    </row>
    <row r="2" customFormat="false" ht="150" hidden="false" customHeight="true" outlineLevel="0" collapsed="false">
      <c r="A2" s="4" t="n">
        <v>1</v>
      </c>
      <c r="B2" s="4" t="n">
        <v>1</v>
      </c>
      <c r="C2" s="5" t="n">
        <f aca="false">Budget!$B$4+B2-1</f>
        <v>46296</v>
      </c>
      <c r="D2" s="4" t="s">
        <v>29</v>
      </c>
      <c r="E2" s="4" t="s">
        <v>30</v>
      </c>
      <c r="F2" s="4" t="s">
        <v>31</v>
      </c>
      <c r="G2" s="4" t="s">
        <v>32</v>
      </c>
      <c r="H2" s="4" t="s">
        <v>33</v>
      </c>
      <c r="I2" s="4" t="n">
        <f aca="false">LEN(H2)</f>
        <v>546</v>
      </c>
      <c r="J2" s="4" t="n">
        <f aca="false">ROUND(I2/Budget!$B$5,0)</f>
        <v>36</v>
      </c>
      <c r="K2" s="4" t="s">
        <v>34</v>
      </c>
      <c r="L2" s="4" t="s">
        <v>35</v>
      </c>
      <c r="M2" s="4" t="s">
        <v>36</v>
      </c>
      <c r="N2" s="4" t="s">
        <v>37</v>
      </c>
      <c r="O2" s="4" t="s">
        <v>38</v>
      </c>
      <c r="P2" s="4" t="s">
        <v>39</v>
      </c>
      <c r="Q2" s="4" t="s">
        <v>40</v>
      </c>
      <c r="R2" s="4" t="s">
        <v>41</v>
      </c>
      <c r="S2" s="4" t="s">
        <v>42</v>
      </c>
      <c r="T2" s="4" t="s">
        <v>43</v>
      </c>
      <c r="U2" s="4" t="s">
        <v>44</v>
      </c>
    </row>
    <row r="3" customFormat="false" ht="150" hidden="false" customHeight="true" outlineLevel="0" collapsed="false">
      <c r="A3" s="4" t="n">
        <v>2</v>
      </c>
      <c r="B3" s="4" t="n">
        <v>1</v>
      </c>
      <c r="C3" s="5" t="n">
        <f aca="false">Budget!$B$4+B3-1</f>
        <v>46296</v>
      </c>
      <c r="D3" s="4" t="s">
        <v>45</v>
      </c>
      <c r="E3" s="4" t="s">
        <v>46</v>
      </c>
      <c r="F3" s="4" t="s">
        <v>47</v>
      </c>
      <c r="G3" s="4" t="s">
        <v>48</v>
      </c>
      <c r="H3" s="4" t="s">
        <v>49</v>
      </c>
      <c r="I3" s="4" t="n">
        <f aca="false">LEN(H3)</f>
        <v>474</v>
      </c>
      <c r="J3" s="4" t="n">
        <f aca="false">ROUND(I3/Budget!$B$5,0)</f>
        <v>32</v>
      </c>
      <c r="K3" s="4" t="s">
        <v>50</v>
      </c>
      <c r="L3" s="4" t="s">
        <v>51</v>
      </c>
      <c r="M3" s="4" t="s">
        <v>52</v>
      </c>
      <c r="N3" s="4" t="s">
        <v>53</v>
      </c>
      <c r="O3" s="4" t="s">
        <v>54</v>
      </c>
      <c r="P3" s="4" t="s">
        <v>55</v>
      </c>
      <c r="Q3" s="4" t="s">
        <v>56</v>
      </c>
      <c r="R3" s="4" t="s">
        <v>57</v>
      </c>
      <c r="S3" s="4" t="s">
        <v>58</v>
      </c>
      <c r="T3" s="4" t="s">
        <v>59</v>
      </c>
      <c r="U3" s="4" t="s">
        <v>44</v>
      </c>
    </row>
    <row r="4" customFormat="false" ht="150" hidden="false" customHeight="true" outlineLevel="0" collapsed="false">
      <c r="A4" s="4" t="n">
        <v>3</v>
      </c>
      <c r="B4" s="4" t="n">
        <v>1</v>
      </c>
      <c r="C4" s="5" t="n">
        <f aca="false">Budget!$B$4+B4-1</f>
        <v>46296</v>
      </c>
      <c r="D4" s="4" t="s">
        <v>60</v>
      </c>
      <c r="E4" s="4" t="s">
        <v>61</v>
      </c>
      <c r="F4" s="4" t="s">
        <v>62</v>
      </c>
      <c r="G4" s="4" t="s">
        <v>63</v>
      </c>
      <c r="H4" s="4" t="s">
        <v>64</v>
      </c>
      <c r="I4" s="4" t="n">
        <f aca="false">LEN(H4)</f>
        <v>493</v>
      </c>
      <c r="J4" s="4" t="n">
        <f aca="false">ROUND(I4/Budget!$B$5,0)</f>
        <v>33</v>
      </c>
      <c r="K4" s="4" t="s">
        <v>65</v>
      </c>
      <c r="L4" s="4" t="s">
        <v>66</v>
      </c>
      <c r="M4" s="4" t="s">
        <v>67</v>
      </c>
      <c r="N4" s="4" t="s">
        <v>68</v>
      </c>
      <c r="O4" s="4" t="s">
        <v>69</v>
      </c>
      <c r="P4" s="4" t="s">
        <v>70</v>
      </c>
      <c r="Q4" s="4" t="s">
        <v>71</v>
      </c>
      <c r="R4" s="4" t="s">
        <v>72</v>
      </c>
      <c r="S4" s="4" t="s">
        <v>73</v>
      </c>
      <c r="T4" s="4" t="s">
        <v>74</v>
      </c>
      <c r="U4" s="4" t="s">
        <v>44</v>
      </c>
    </row>
    <row r="5" customFormat="false" ht="150" hidden="false" customHeight="true" outlineLevel="0" collapsed="false">
      <c r="A5" s="4" t="n">
        <v>4</v>
      </c>
      <c r="B5" s="4" t="n">
        <v>2</v>
      </c>
      <c r="C5" s="5" t="n">
        <f aca="false">Budget!$B$4+B5-1</f>
        <v>46297</v>
      </c>
      <c r="D5" s="4" t="s">
        <v>29</v>
      </c>
      <c r="E5" s="4" t="s">
        <v>75</v>
      </c>
      <c r="F5" s="4" t="s">
        <v>76</v>
      </c>
      <c r="G5" s="4" t="s">
        <v>77</v>
      </c>
      <c r="H5" s="4" t="s">
        <v>78</v>
      </c>
      <c r="I5" s="4" t="n">
        <f aca="false">LEN(H5)</f>
        <v>512</v>
      </c>
      <c r="J5" s="4" t="n">
        <f aca="false">ROUND(I5/Budget!$B$5,0)</f>
        <v>34</v>
      </c>
      <c r="K5" s="4" t="s">
        <v>79</v>
      </c>
      <c r="L5" s="4" t="s">
        <v>80</v>
      </c>
      <c r="M5" s="4" t="s">
        <v>81</v>
      </c>
      <c r="N5" s="4" t="s">
        <v>82</v>
      </c>
      <c r="O5" s="4" t="s">
        <v>83</v>
      </c>
      <c r="P5" s="4" t="s">
        <v>84</v>
      </c>
      <c r="Q5" s="4" t="s">
        <v>85</v>
      </c>
      <c r="R5" s="4" t="s">
        <v>86</v>
      </c>
      <c r="S5" s="4" t="s">
        <v>87</v>
      </c>
      <c r="T5" s="4" t="s">
        <v>88</v>
      </c>
      <c r="U5" s="4" t="s">
        <v>44</v>
      </c>
    </row>
    <row r="6" customFormat="false" ht="150" hidden="false" customHeight="true" outlineLevel="0" collapsed="false">
      <c r="A6" s="4" t="n">
        <v>5</v>
      </c>
      <c r="B6" s="4" t="n">
        <v>2</v>
      </c>
      <c r="C6" s="5" t="n">
        <f aca="false">Budget!$B$4+B6-1</f>
        <v>46297</v>
      </c>
      <c r="D6" s="4" t="s">
        <v>45</v>
      </c>
      <c r="E6" s="4" t="s">
        <v>89</v>
      </c>
      <c r="F6" s="4" t="s">
        <v>90</v>
      </c>
      <c r="G6" s="4" t="s">
        <v>91</v>
      </c>
      <c r="H6" s="4" t="s">
        <v>92</v>
      </c>
      <c r="I6" s="4" t="n">
        <f aca="false">LEN(H6)</f>
        <v>485</v>
      </c>
      <c r="J6" s="4" t="n">
        <f aca="false">ROUND(I6/Budget!$B$5,0)</f>
        <v>32</v>
      </c>
      <c r="K6" s="4" t="s">
        <v>93</v>
      </c>
      <c r="L6" s="4" t="s">
        <v>94</v>
      </c>
      <c r="M6" s="4" t="s">
        <v>95</v>
      </c>
      <c r="N6" s="4" t="s">
        <v>96</v>
      </c>
      <c r="O6" s="4" t="s">
        <v>97</v>
      </c>
      <c r="P6" s="4" t="s">
        <v>98</v>
      </c>
      <c r="Q6" s="4" t="s">
        <v>99</v>
      </c>
      <c r="R6" s="4" t="s">
        <v>100</v>
      </c>
      <c r="S6" s="4" t="s">
        <v>101</v>
      </c>
      <c r="T6" s="4" t="s">
        <v>102</v>
      </c>
      <c r="U6" s="4" t="s">
        <v>44</v>
      </c>
    </row>
    <row r="7" customFormat="false" ht="150" hidden="false" customHeight="true" outlineLevel="0" collapsed="false">
      <c r="A7" s="4" t="n">
        <v>6</v>
      </c>
      <c r="B7" s="4" t="n">
        <v>2</v>
      </c>
      <c r="C7" s="5" t="n">
        <f aca="false">Budget!$B$4+B7-1</f>
        <v>46297</v>
      </c>
      <c r="D7" s="4" t="s">
        <v>60</v>
      </c>
      <c r="E7" s="4" t="s">
        <v>103</v>
      </c>
      <c r="F7" s="4" t="s">
        <v>104</v>
      </c>
      <c r="G7" s="4" t="s">
        <v>105</v>
      </c>
      <c r="H7" s="4" t="s">
        <v>106</v>
      </c>
      <c r="I7" s="4" t="n">
        <f aca="false">LEN(H7)</f>
        <v>492</v>
      </c>
      <c r="J7" s="4" t="n">
        <f aca="false">ROUND(I7/Budget!$B$5,0)</f>
        <v>33</v>
      </c>
      <c r="K7" s="4" t="s">
        <v>107</v>
      </c>
      <c r="L7" s="4" t="s">
        <v>108</v>
      </c>
      <c r="M7" s="4" t="s">
        <v>109</v>
      </c>
      <c r="N7" s="4" t="s">
        <v>110</v>
      </c>
      <c r="O7" s="4" t="s">
        <v>111</v>
      </c>
      <c r="P7" s="4" t="s">
        <v>112</v>
      </c>
      <c r="Q7" s="4" t="s">
        <v>113</v>
      </c>
      <c r="R7" s="4" t="s">
        <v>114</v>
      </c>
      <c r="S7" s="4" t="s">
        <v>115</v>
      </c>
      <c r="T7" s="4" t="s">
        <v>116</v>
      </c>
      <c r="U7" s="4" t="s">
        <v>44</v>
      </c>
    </row>
    <row r="8" customFormat="false" ht="150" hidden="false" customHeight="true" outlineLevel="0" collapsed="false">
      <c r="A8" s="4" t="n">
        <v>7</v>
      </c>
      <c r="B8" s="4" t="n">
        <v>3</v>
      </c>
      <c r="C8" s="5" t="n">
        <f aca="false">Budget!$B$4+B8-1</f>
        <v>46298</v>
      </c>
      <c r="D8" s="4" t="s">
        <v>29</v>
      </c>
      <c r="E8" s="4" t="s">
        <v>117</v>
      </c>
      <c r="F8" s="4" t="s">
        <v>31</v>
      </c>
      <c r="G8" s="4" t="s">
        <v>118</v>
      </c>
      <c r="H8" s="4" t="s">
        <v>119</v>
      </c>
      <c r="I8" s="4" t="n">
        <f aca="false">LEN(H8)</f>
        <v>524</v>
      </c>
      <c r="J8" s="4" t="n">
        <f aca="false">ROUND(I8/Budget!$B$5,0)</f>
        <v>35</v>
      </c>
      <c r="K8" s="4" t="s">
        <v>120</v>
      </c>
      <c r="L8" s="4" t="s">
        <v>121</v>
      </c>
      <c r="M8" s="4" t="s">
        <v>122</v>
      </c>
      <c r="N8" s="4" t="s">
        <v>123</v>
      </c>
      <c r="O8" s="4" t="s">
        <v>124</v>
      </c>
      <c r="P8" s="4" t="s">
        <v>125</v>
      </c>
      <c r="Q8" s="4" t="s">
        <v>126</v>
      </c>
      <c r="R8" s="4" t="s">
        <v>72</v>
      </c>
      <c r="S8" s="4" t="s">
        <v>127</v>
      </c>
      <c r="T8" s="4" t="s">
        <v>128</v>
      </c>
      <c r="U8" s="4" t="s">
        <v>44</v>
      </c>
    </row>
    <row r="9" customFormat="false" ht="150" hidden="false" customHeight="true" outlineLevel="0" collapsed="false">
      <c r="A9" s="4" t="n">
        <v>8</v>
      </c>
      <c r="B9" s="4" t="n">
        <v>3</v>
      </c>
      <c r="C9" s="5" t="n">
        <f aca="false">Budget!$B$4+B9-1</f>
        <v>46298</v>
      </c>
      <c r="D9" s="4" t="s">
        <v>45</v>
      </c>
      <c r="E9" s="4" t="s">
        <v>129</v>
      </c>
      <c r="F9" s="4" t="s">
        <v>47</v>
      </c>
      <c r="G9" s="4" t="s">
        <v>130</v>
      </c>
      <c r="H9" s="4" t="s">
        <v>131</v>
      </c>
      <c r="I9" s="4" t="n">
        <f aca="false">LEN(H9)</f>
        <v>495</v>
      </c>
      <c r="J9" s="4" t="n">
        <f aca="false">ROUND(I9/Budget!$B$5,0)</f>
        <v>33</v>
      </c>
      <c r="K9" s="4" t="s">
        <v>132</v>
      </c>
      <c r="L9" s="4" t="s">
        <v>133</v>
      </c>
      <c r="M9" s="4" t="s">
        <v>134</v>
      </c>
      <c r="N9" s="4" t="s">
        <v>135</v>
      </c>
      <c r="O9" s="4" t="s">
        <v>136</v>
      </c>
      <c r="P9" s="4" t="s">
        <v>137</v>
      </c>
      <c r="Q9" s="4" t="s">
        <v>85</v>
      </c>
      <c r="R9" s="4" t="s">
        <v>57</v>
      </c>
      <c r="S9" s="4" t="s">
        <v>138</v>
      </c>
      <c r="T9" s="4" t="s">
        <v>139</v>
      </c>
      <c r="U9" s="4" t="s">
        <v>44</v>
      </c>
    </row>
    <row r="10" customFormat="false" ht="150" hidden="false" customHeight="true" outlineLevel="0" collapsed="false">
      <c r="A10" s="4" t="n">
        <v>9</v>
      </c>
      <c r="B10" s="4" t="n">
        <v>3</v>
      </c>
      <c r="C10" s="5" t="n">
        <f aca="false">Budget!$B$4+B10-1</f>
        <v>46298</v>
      </c>
      <c r="D10" s="4" t="s">
        <v>60</v>
      </c>
      <c r="E10" s="4" t="s">
        <v>140</v>
      </c>
      <c r="F10" s="4" t="s">
        <v>62</v>
      </c>
      <c r="G10" s="4" t="s">
        <v>141</v>
      </c>
      <c r="H10" s="4" t="s">
        <v>142</v>
      </c>
      <c r="I10" s="4" t="n">
        <f aca="false">LEN(H10)</f>
        <v>476</v>
      </c>
      <c r="J10" s="4" t="n">
        <f aca="false">ROUND(I10/Budget!$B$5,0)</f>
        <v>32</v>
      </c>
      <c r="K10" s="4" t="s">
        <v>143</v>
      </c>
      <c r="L10" s="4" t="s">
        <v>144</v>
      </c>
      <c r="M10" s="4" t="s">
        <v>145</v>
      </c>
      <c r="N10" s="4" t="s">
        <v>146</v>
      </c>
      <c r="O10" s="4" t="s">
        <v>147</v>
      </c>
      <c r="P10" s="4" t="s">
        <v>148</v>
      </c>
      <c r="Q10" s="4" t="s">
        <v>40</v>
      </c>
      <c r="R10" s="4" t="s">
        <v>41</v>
      </c>
      <c r="S10" s="4" t="s">
        <v>149</v>
      </c>
      <c r="T10" s="4" t="s">
        <v>150</v>
      </c>
      <c r="U10" s="4" t="s">
        <v>44</v>
      </c>
    </row>
    <row r="11" customFormat="false" ht="150" hidden="false" customHeight="true" outlineLevel="0" collapsed="false">
      <c r="A11" s="4" t="n">
        <v>10</v>
      </c>
      <c r="B11" s="4" t="n">
        <v>4</v>
      </c>
      <c r="C11" s="5" t="n">
        <f aca="false">Budget!$B$4+B11-1</f>
        <v>46299</v>
      </c>
      <c r="D11" s="4" t="s">
        <v>29</v>
      </c>
      <c r="E11" s="4" t="s">
        <v>151</v>
      </c>
      <c r="F11" s="4" t="s">
        <v>76</v>
      </c>
      <c r="G11" s="4" t="s">
        <v>152</v>
      </c>
      <c r="H11" s="4" t="s">
        <v>153</v>
      </c>
      <c r="I11" s="4" t="n">
        <f aca="false">LEN(H11)</f>
        <v>510</v>
      </c>
      <c r="J11" s="4" t="n">
        <f aca="false">ROUND(I11/Budget!$B$5,0)</f>
        <v>34</v>
      </c>
      <c r="K11" s="4" t="s">
        <v>154</v>
      </c>
      <c r="L11" s="4" t="s">
        <v>155</v>
      </c>
      <c r="M11" s="4" t="s">
        <v>156</v>
      </c>
      <c r="N11" s="4" t="s">
        <v>157</v>
      </c>
      <c r="O11" s="4" t="s">
        <v>158</v>
      </c>
      <c r="P11" s="4" t="s">
        <v>159</v>
      </c>
      <c r="Q11" s="4" t="s">
        <v>160</v>
      </c>
      <c r="R11" s="4" t="s">
        <v>41</v>
      </c>
      <c r="S11" s="4" t="s">
        <v>161</v>
      </c>
      <c r="T11" s="4" t="s">
        <v>162</v>
      </c>
      <c r="U11" s="4" t="s">
        <v>44</v>
      </c>
    </row>
    <row r="12" customFormat="false" ht="150" hidden="false" customHeight="true" outlineLevel="0" collapsed="false">
      <c r="A12" s="4" t="n">
        <v>11</v>
      </c>
      <c r="B12" s="4" t="n">
        <v>4</v>
      </c>
      <c r="C12" s="5" t="n">
        <f aca="false">Budget!$B$4+B12-1</f>
        <v>46299</v>
      </c>
      <c r="D12" s="4" t="s">
        <v>45</v>
      </c>
      <c r="E12" s="4" t="s">
        <v>163</v>
      </c>
      <c r="F12" s="4" t="s">
        <v>90</v>
      </c>
      <c r="G12" s="4" t="s">
        <v>164</v>
      </c>
      <c r="H12" s="4" t="s">
        <v>165</v>
      </c>
      <c r="I12" s="4" t="n">
        <f aca="false">LEN(H12)</f>
        <v>526</v>
      </c>
      <c r="J12" s="4" t="n">
        <f aca="false">ROUND(I12/Budget!$B$5,0)</f>
        <v>35</v>
      </c>
      <c r="K12" s="4" t="s">
        <v>166</v>
      </c>
      <c r="L12" s="4" t="s">
        <v>167</v>
      </c>
      <c r="M12" s="4" t="s">
        <v>168</v>
      </c>
      <c r="N12" s="4" t="s">
        <v>169</v>
      </c>
      <c r="O12" s="4" t="s">
        <v>170</v>
      </c>
      <c r="P12" s="4" t="s">
        <v>171</v>
      </c>
      <c r="Q12" s="4" t="s">
        <v>172</v>
      </c>
      <c r="R12" s="4" t="s">
        <v>114</v>
      </c>
      <c r="S12" s="4" t="s">
        <v>173</v>
      </c>
      <c r="T12" s="4" t="s">
        <v>174</v>
      </c>
      <c r="U12" s="4" t="s">
        <v>44</v>
      </c>
    </row>
    <row r="13" customFormat="false" ht="150" hidden="false" customHeight="true" outlineLevel="0" collapsed="false">
      <c r="A13" s="4" t="n">
        <v>12</v>
      </c>
      <c r="B13" s="4" t="n">
        <v>4</v>
      </c>
      <c r="C13" s="5" t="n">
        <f aca="false">Budget!$B$4+B13-1</f>
        <v>46299</v>
      </c>
      <c r="D13" s="4" t="s">
        <v>60</v>
      </c>
      <c r="E13" s="4" t="s">
        <v>175</v>
      </c>
      <c r="F13" s="4" t="s">
        <v>104</v>
      </c>
      <c r="G13" s="4" t="s">
        <v>176</v>
      </c>
      <c r="H13" s="4" t="s">
        <v>177</v>
      </c>
      <c r="I13" s="4" t="n">
        <f aca="false">LEN(H13)</f>
        <v>470</v>
      </c>
      <c r="J13" s="4" t="n">
        <f aca="false">ROUND(I13/Budget!$B$5,0)</f>
        <v>31</v>
      </c>
      <c r="K13" s="4" t="s">
        <v>178</v>
      </c>
      <c r="L13" s="4" t="s">
        <v>179</v>
      </c>
      <c r="M13" s="4" t="s">
        <v>180</v>
      </c>
      <c r="N13" s="4" t="s">
        <v>181</v>
      </c>
      <c r="O13" s="4" t="s">
        <v>182</v>
      </c>
      <c r="P13" s="4" t="s">
        <v>183</v>
      </c>
      <c r="Q13" s="4" t="s">
        <v>113</v>
      </c>
      <c r="R13" s="4" t="s">
        <v>114</v>
      </c>
      <c r="S13" s="4" t="s">
        <v>184</v>
      </c>
      <c r="T13" s="4" t="s">
        <v>185</v>
      </c>
      <c r="U13" s="4" t="s">
        <v>44</v>
      </c>
    </row>
    <row r="14" customFormat="false" ht="150" hidden="false" customHeight="true" outlineLevel="0" collapsed="false">
      <c r="A14" s="4" t="n">
        <v>13</v>
      </c>
      <c r="B14" s="4" t="n">
        <v>5</v>
      </c>
      <c r="C14" s="5" t="n">
        <f aca="false">Budget!$B$4+B14-1</f>
        <v>46300</v>
      </c>
      <c r="D14" s="4" t="s">
        <v>29</v>
      </c>
      <c r="E14" s="4" t="s">
        <v>186</v>
      </c>
      <c r="F14" s="4" t="s">
        <v>31</v>
      </c>
      <c r="G14" s="4" t="s">
        <v>187</v>
      </c>
      <c r="H14" s="4" t="s">
        <v>188</v>
      </c>
      <c r="I14" s="4" t="n">
        <f aca="false">LEN(H14)</f>
        <v>507</v>
      </c>
      <c r="J14" s="4" t="n">
        <f aca="false">ROUND(I14/Budget!$B$5,0)</f>
        <v>34</v>
      </c>
      <c r="K14" s="4" t="s">
        <v>189</v>
      </c>
      <c r="L14" s="4" t="s">
        <v>190</v>
      </c>
      <c r="M14" s="4" t="s">
        <v>191</v>
      </c>
      <c r="N14" s="4" t="s">
        <v>192</v>
      </c>
      <c r="O14" s="4" t="s">
        <v>193</v>
      </c>
      <c r="P14" s="4" t="s">
        <v>194</v>
      </c>
      <c r="Q14" s="4" t="s">
        <v>195</v>
      </c>
      <c r="R14" s="4" t="s">
        <v>72</v>
      </c>
      <c r="S14" s="4" t="s">
        <v>196</v>
      </c>
      <c r="T14" s="4" t="s">
        <v>197</v>
      </c>
      <c r="U14" s="4" t="s">
        <v>44</v>
      </c>
    </row>
    <row r="15" customFormat="false" ht="150" hidden="false" customHeight="true" outlineLevel="0" collapsed="false">
      <c r="A15" s="4" t="n">
        <v>14</v>
      </c>
      <c r="B15" s="4" t="n">
        <v>5</v>
      </c>
      <c r="C15" s="5" t="n">
        <f aca="false">Budget!$B$4+B15-1</f>
        <v>46300</v>
      </c>
      <c r="D15" s="4" t="s">
        <v>45</v>
      </c>
      <c r="E15" s="4" t="s">
        <v>198</v>
      </c>
      <c r="F15" s="4" t="s">
        <v>47</v>
      </c>
      <c r="G15" s="4" t="s">
        <v>199</v>
      </c>
      <c r="H15" s="4" t="s">
        <v>200</v>
      </c>
      <c r="I15" s="4" t="n">
        <f aca="false">LEN(H15)</f>
        <v>447</v>
      </c>
      <c r="J15" s="4" t="n">
        <f aca="false">ROUND(I15/Budget!$B$5,0)</f>
        <v>30</v>
      </c>
      <c r="K15" s="4" t="s">
        <v>201</v>
      </c>
      <c r="L15" s="4" t="s">
        <v>202</v>
      </c>
      <c r="M15" s="4" t="s">
        <v>203</v>
      </c>
      <c r="N15" s="4" t="s">
        <v>204</v>
      </c>
      <c r="O15" s="4" t="s">
        <v>205</v>
      </c>
      <c r="P15" s="4" t="s">
        <v>206</v>
      </c>
      <c r="Q15" s="4" t="s">
        <v>113</v>
      </c>
      <c r="R15" s="4" t="s">
        <v>86</v>
      </c>
      <c r="S15" s="4" t="s">
        <v>207</v>
      </c>
      <c r="T15" s="4" t="s">
        <v>208</v>
      </c>
      <c r="U15" s="4" t="s">
        <v>44</v>
      </c>
    </row>
    <row r="16" customFormat="false" ht="150" hidden="false" customHeight="true" outlineLevel="0" collapsed="false">
      <c r="A16" s="4" t="n">
        <v>15</v>
      </c>
      <c r="B16" s="4" t="n">
        <v>5</v>
      </c>
      <c r="C16" s="5" t="n">
        <f aca="false">Budget!$B$4+B16-1</f>
        <v>46300</v>
      </c>
      <c r="D16" s="4" t="s">
        <v>60</v>
      </c>
      <c r="E16" s="4" t="s">
        <v>209</v>
      </c>
      <c r="F16" s="4" t="s">
        <v>62</v>
      </c>
      <c r="G16" s="4" t="s">
        <v>210</v>
      </c>
      <c r="H16" s="4" t="s">
        <v>211</v>
      </c>
      <c r="I16" s="4" t="n">
        <f aca="false">LEN(H16)</f>
        <v>483</v>
      </c>
      <c r="J16" s="4" t="n">
        <f aca="false">ROUND(I16/Budget!$B$5,0)</f>
        <v>32</v>
      </c>
      <c r="K16" s="4" t="s">
        <v>212</v>
      </c>
      <c r="L16" s="4" t="s">
        <v>213</v>
      </c>
      <c r="M16" s="4" t="s">
        <v>214</v>
      </c>
      <c r="N16" s="4" t="s">
        <v>215</v>
      </c>
      <c r="O16" s="4" t="s">
        <v>216</v>
      </c>
      <c r="P16" s="4" t="s">
        <v>217</v>
      </c>
      <c r="Q16" s="4" t="s">
        <v>218</v>
      </c>
      <c r="R16" s="4" t="s">
        <v>86</v>
      </c>
      <c r="S16" s="4" t="s">
        <v>219</v>
      </c>
      <c r="T16" s="4" t="s">
        <v>220</v>
      </c>
      <c r="U16" s="4" t="s">
        <v>44</v>
      </c>
    </row>
    <row r="17" customFormat="false" ht="150" hidden="false" customHeight="true" outlineLevel="0" collapsed="false">
      <c r="A17" s="4" t="n">
        <v>16</v>
      </c>
      <c r="B17" s="4" t="n">
        <v>6</v>
      </c>
      <c r="C17" s="5" t="n">
        <f aca="false">Budget!$B$4+B17-1</f>
        <v>46301</v>
      </c>
      <c r="D17" s="4" t="s">
        <v>29</v>
      </c>
      <c r="E17" s="4" t="s">
        <v>221</v>
      </c>
      <c r="F17" s="4" t="s">
        <v>76</v>
      </c>
      <c r="G17" s="4" t="s">
        <v>222</v>
      </c>
      <c r="H17" s="4" t="s">
        <v>223</v>
      </c>
      <c r="I17" s="4" t="n">
        <f aca="false">LEN(H17)</f>
        <v>495</v>
      </c>
      <c r="J17" s="4" t="n">
        <f aca="false">ROUND(I17/Budget!$B$5,0)</f>
        <v>33</v>
      </c>
      <c r="K17" s="4" t="s">
        <v>224</v>
      </c>
      <c r="L17" s="4" t="s">
        <v>225</v>
      </c>
      <c r="M17" s="4" t="s">
        <v>226</v>
      </c>
      <c r="N17" s="4" t="s">
        <v>227</v>
      </c>
      <c r="O17" s="4" t="s">
        <v>228</v>
      </c>
      <c r="P17" s="4" t="s">
        <v>229</v>
      </c>
      <c r="Q17" s="4" t="s">
        <v>230</v>
      </c>
      <c r="R17" s="4" t="s">
        <v>41</v>
      </c>
      <c r="S17" s="4" t="s">
        <v>231</v>
      </c>
      <c r="T17" s="4" t="s">
        <v>232</v>
      </c>
      <c r="U17" s="4" t="s">
        <v>44</v>
      </c>
    </row>
    <row r="18" customFormat="false" ht="150" hidden="false" customHeight="true" outlineLevel="0" collapsed="false">
      <c r="A18" s="4" t="n">
        <v>17</v>
      </c>
      <c r="B18" s="4" t="n">
        <v>6</v>
      </c>
      <c r="C18" s="5" t="n">
        <f aca="false">Budget!$B$4+B18-1</f>
        <v>46301</v>
      </c>
      <c r="D18" s="4" t="s">
        <v>45</v>
      </c>
      <c r="E18" s="4" t="s">
        <v>233</v>
      </c>
      <c r="F18" s="4" t="s">
        <v>90</v>
      </c>
      <c r="G18" s="4" t="s">
        <v>234</v>
      </c>
      <c r="H18" s="4" t="s">
        <v>235</v>
      </c>
      <c r="I18" s="4" t="n">
        <f aca="false">LEN(H18)</f>
        <v>482</v>
      </c>
      <c r="J18" s="4" t="n">
        <f aca="false">ROUND(I18/Budget!$B$5,0)</f>
        <v>32</v>
      </c>
      <c r="K18" s="4" t="s">
        <v>236</v>
      </c>
      <c r="L18" s="4" t="s">
        <v>237</v>
      </c>
      <c r="M18" s="4" t="s">
        <v>238</v>
      </c>
      <c r="N18" s="4" t="s">
        <v>239</v>
      </c>
      <c r="O18" s="4" t="s">
        <v>240</v>
      </c>
      <c r="P18" s="4" t="s">
        <v>241</v>
      </c>
      <c r="Q18" s="4" t="s">
        <v>242</v>
      </c>
      <c r="R18" s="4" t="s">
        <v>100</v>
      </c>
      <c r="S18" s="4" t="s">
        <v>243</v>
      </c>
      <c r="T18" s="4" t="s">
        <v>244</v>
      </c>
      <c r="U18" s="4" t="s">
        <v>44</v>
      </c>
    </row>
    <row r="19" customFormat="false" ht="150" hidden="false" customHeight="true" outlineLevel="0" collapsed="false">
      <c r="A19" s="4" t="n">
        <v>18</v>
      </c>
      <c r="B19" s="4" t="n">
        <v>6</v>
      </c>
      <c r="C19" s="5" t="n">
        <f aca="false">Budget!$B$4+B19-1</f>
        <v>46301</v>
      </c>
      <c r="D19" s="4" t="s">
        <v>60</v>
      </c>
      <c r="E19" s="4" t="s">
        <v>245</v>
      </c>
      <c r="F19" s="4" t="s">
        <v>104</v>
      </c>
      <c r="G19" s="4" t="s">
        <v>246</v>
      </c>
      <c r="H19" s="4" t="s">
        <v>247</v>
      </c>
      <c r="I19" s="4" t="n">
        <f aca="false">LEN(H19)</f>
        <v>526</v>
      </c>
      <c r="J19" s="4" t="n">
        <f aca="false">ROUND(I19/Budget!$B$5,0)</f>
        <v>35</v>
      </c>
      <c r="K19" s="4" t="s">
        <v>248</v>
      </c>
      <c r="L19" s="4" t="s">
        <v>249</v>
      </c>
      <c r="M19" s="4" t="s">
        <v>250</v>
      </c>
      <c r="N19" s="4" t="s">
        <v>251</v>
      </c>
      <c r="O19" s="4" t="s">
        <v>252</v>
      </c>
      <c r="P19" s="4" t="s">
        <v>253</v>
      </c>
      <c r="Q19" s="4" t="s">
        <v>254</v>
      </c>
      <c r="R19" s="4" t="s">
        <v>114</v>
      </c>
      <c r="S19" s="4" t="s">
        <v>255</v>
      </c>
      <c r="T19" s="4" t="s">
        <v>256</v>
      </c>
      <c r="U19" s="4" t="s">
        <v>44</v>
      </c>
    </row>
    <row r="20" customFormat="false" ht="150" hidden="false" customHeight="true" outlineLevel="0" collapsed="false">
      <c r="A20" s="4" t="n">
        <v>19</v>
      </c>
      <c r="B20" s="4" t="n">
        <v>7</v>
      </c>
      <c r="C20" s="5" t="n">
        <f aca="false">Budget!$B$4+B20-1</f>
        <v>46302</v>
      </c>
      <c r="D20" s="4" t="s">
        <v>29</v>
      </c>
      <c r="E20" s="4" t="s">
        <v>257</v>
      </c>
      <c r="F20" s="4" t="s">
        <v>31</v>
      </c>
      <c r="G20" s="4" t="s">
        <v>258</v>
      </c>
      <c r="H20" s="4" t="s">
        <v>259</v>
      </c>
      <c r="I20" s="4" t="n">
        <f aca="false">LEN(H20)</f>
        <v>528</v>
      </c>
      <c r="J20" s="4" t="n">
        <f aca="false">ROUND(I20/Budget!$B$5,0)</f>
        <v>35</v>
      </c>
      <c r="K20" s="4" t="s">
        <v>260</v>
      </c>
      <c r="L20" s="4" t="s">
        <v>261</v>
      </c>
      <c r="M20" s="4" t="s">
        <v>262</v>
      </c>
      <c r="N20" s="4" t="s">
        <v>263</v>
      </c>
      <c r="O20" s="4" t="s">
        <v>264</v>
      </c>
      <c r="P20" s="4" t="s">
        <v>265</v>
      </c>
      <c r="Q20" s="4" t="s">
        <v>266</v>
      </c>
      <c r="R20" s="4" t="s">
        <v>41</v>
      </c>
      <c r="S20" s="4" t="s">
        <v>267</v>
      </c>
      <c r="T20" s="4" t="s">
        <v>268</v>
      </c>
      <c r="U20" s="4" t="s">
        <v>44</v>
      </c>
    </row>
    <row r="21" customFormat="false" ht="150" hidden="false" customHeight="true" outlineLevel="0" collapsed="false">
      <c r="A21" s="4" t="n">
        <v>20</v>
      </c>
      <c r="B21" s="4" t="n">
        <v>7</v>
      </c>
      <c r="C21" s="5" t="n">
        <f aca="false">Budget!$B$4+B21-1</f>
        <v>46302</v>
      </c>
      <c r="D21" s="4" t="s">
        <v>45</v>
      </c>
      <c r="E21" s="4" t="s">
        <v>269</v>
      </c>
      <c r="F21" s="4" t="s">
        <v>47</v>
      </c>
      <c r="G21" s="4" t="s">
        <v>270</v>
      </c>
      <c r="H21" s="4" t="s">
        <v>271</v>
      </c>
      <c r="I21" s="4" t="n">
        <f aca="false">LEN(H21)</f>
        <v>473</v>
      </c>
      <c r="J21" s="4" t="n">
        <f aca="false">ROUND(I21/Budget!$B$5,0)</f>
        <v>32</v>
      </c>
      <c r="K21" s="4" t="s">
        <v>272</v>
      </c>
      <c r="L21" s="4" t="s">
        <v>273</v>
      </c>
      <c r="M21" s="4" t="s">
        <v>274</v>
      </c>
      <c r="N21" s="4" t="s">
        <v>275</v>
      </c>
      <c r="O21" s="4" t="s">
        <v>276</v>
      </c>
      <c r="P21" s="4" t="s">
        <v>277</v>
      </c>
      <c r="Q21" s="4" t="s">
        <v>278</v>
      </c>
      <c r="R21" s="4" t="s">
        <v>86</v>
      </c>
      <c r="S21" s="4" t="s">
        <v>279</v>
      </c>
      <c r="T21" s="4" t="s">
        <v>280</v>
      </c>
      <c r="U21" s="4" t="s">
        <v>44</v>
      </c>
    </row>
    <row r="22" customFormat="false" ht="150" hidden="false" customHeight="true" outlineLevel="0" collapsed="false">
      <c r="A22" s="4" t="n">
        <v>21</v>
      </c>
      <c r="B22" s="4" t="n">
        <v>7</v>
      </c>
      <c r="C22" s="5" t="n">
        <f aca="false">Budget!$B$4+B22-1</f>
        <v>46302</v>
      </c>
      <c r="D22" s="4" t="s">
        <v>60</v>
      </c>
      <c r="E22" s="4" t="s">
        <v>281</v>
      </c>
      <c r="F22" s="4" t="s">
        <v>62</v>
      </c>
      <c r="G22" s="4" t="s">
        <v>282</v>
      </c>
      <c r="H22" s="4" t="s">
        <v>283</v>
      </c>
      <c r="I22" s="4" t="n">
        <f aca="false">LEN(H22)</f>
        <v>481</v>
      </c>
      <c r="J22" s="4" t="n">
        <f aca="false">ROUND(I22/Budget!$B$5,0)</f>
        <v>32</v>
      </c>
      <c r="K22" s="4" t="s">
        <v>284</v>
      </c>
      <c r="L22" s="4" t="s">
        <v>285</v>
      </c>
      <c r="M22" s="4" t="s">
        <v>286</v>
      </c>
      <c r="N22" s="4" t="s">
        <v>287</v>
      </c>
      <c r="O22" s="4" t="s">
        <v>288</v>
      </c>
      <c r="P22" s="4" t="s">
        <v>289</v>
      </c>
      <c r="Q22" s="4" t="s">
        <v>290</v>
      </c>
      <c r="R22" s="4" t="s">
        <v>86</v>
      </c>
      <c r="S22" s="4" t="s">
        <v>291</v>
      </c>
      <c r="T22" s="4" t="s">
        <v>292</v>
      </c>
      <c r="U22" s="4" t="s">
        <v>44</v>
      </c>
    </row>
    <row r="23" customFormat="false" ht="150" hidden="false" customHeight="true" outlineLevel="0" collapsed="false">
      <c r="A23" s="4" t="n">
        <v>22</v>
      </c>
      <c r="B23" s="4" t="n">
        <v>8</v>
      </c>
      <c r="C23" s="5" t="n">
        <f aca="false">Budget!$B$4+B23-1</f>
        <v>46303</v>
      </c>
      <c r="D23" s="4" t="s">
        <v>29</v>
      </c>
      <c r="E23" s="4" t="s">
        <v>293</v>
      </c>
      <c r="F23" s="4" t="s">
        <v>76</v>
      </c>
      <c r="G23" s="4" t="s">
        <v>294</v>
      </c>
      <c r="H23" s="4" t="s">
        <v>295</v>
      </c>
      <c r="I23" s="4" t="n">
        <f aca="false">LEN(H23)</f>
        <v>464</v>
      </c>
      <c r="J23" s="4" t="n">
        <f aca="false">ROUND(I23/Budget!$B$5,0)</f>
        <v>31</v>
      </c>
      <c r="K23" s="4" t="s">
        <v>296</v>
      </c>
      <c r="L23" s="4" t="s">
        <v>297</v>
      </c>
      <c r="M23" s="4" t="s">
        <v>298</v>
      </c>
      <c r="N23" s="4" t="s">
        <v>299</v>
      </c>
      <c r="O23" s="4" t="s">
        <v>300</v>
      </c>
      <c r="P23" s="4" t="s">
        <v>301</v>
      </c>
      <c r="Q23" s="4" t="s">
        <v>302</v>
      </c>
      <c r="R23" s="4" t="s">
        <v>57</v>
      </c>
      <c r="S23" s="4" t="s">
        <v>303</v>
      </c>
      <c r="T23" s="4" t="s">
        <v>304</v>
      </c>
      <c r="U23" s="4" t="s">
        <v>44</v>
      </c>
    </row>
    <row r="24" customFormat="false" ht="150" hidden="false" customHeight="true" outlineLevel="0" collapsed="false">
      <c r="A24" s="4" t="n">
        <v>23</v>
      </c>
      <c r="B24" s="4" t="n">
        <v>8</v>
      </c>
      <c r="C24" s="5" t="n">
        <f aca="false">Budget!$B$4+B24-1</f>
        <v>46303</v>
      </c>
      <c r="D24" s="4" t="s">
        <v>45</v>
      </c>
      <c r="E24" s="4" t="s">
        <v>305</v>
      </c>
      <c r="F24" s="4" t="s">
        <v>90</v>
      </c>
      <c r="G24" s="4" t="s">
        <v>306</v>
      </c>
      <c r="H24" s="4" t="s">
        <v>307</v>
      </c>
      <c r="I24" s="4" t="n">
        <f aca="false">LEN(H24)</f>
        <v>493</v>
      </c>
      <c r="J24" s="4" t="n">
        <f aca="false">ROUND(I24/Budget!$B$5,0)</f>
        <v>33</v>
      </c>
      <c r="K24" s="4" t="s">
        <v>308</v>
      </c>
      <c r="L24" s="4" t="s">
        <v>309</v>
      </c>
      <c r="M24" s="4" t="s">
        <v>310</v>
      </c>
      <c r="N24" s="4" t="s">
        <v>311</v>
      </c>
      <c r="O24" s="4" t="s">
        <v>312</v>
      </c>
      <c r="P24" s="4" t="s">
        <v>313</v>
      </c>
      <c r="Q24" s="4" t="s">
        <v>314</v>
      </c>
      <c r="R24" s="4" t="s">
        <v>72</v>
      </c>
      <c r="S24" s="4" t="s">
        <v>315</v>
      </c>
      <c r="T24" s="4" t="s">
        <v>316</v>
      </c>
      <c r="U24" s="4" t="s">
        <v>44</v>
      </c>
    </row>
    <row r="25" customFormat="false" ht="150" hidden="false" customHeight="true" outlineLevel="0" collapsed="false">
      <c r="A25" s="4" t="n">
        <v>24</v>
      </c>
      <c r="B25" s="4" t="n">
        <v>8</v>
      </c>
      <c r="C25" s="5" t="n">
        <f aca="false">Budget!$B$4+B25-1</f>
        <v>46303</v>
      </c>
      <c r="D25" s="4" t="s">
        <v>60</v>
      </c>
      <c r="E25" s="4" t="s">
        <v>317</v>
      </c>
      <c r="F25" s="4" t="s">
        <v>104</v>
      </c>
      <c r="G25" s="4" t="s">
        <v>318</v>
      </c>
      <c r="H25" s="4" t="s">
        <v>319</v>
      </c>
      <c r="I25" s="4" t="n">
        <f aca="false">LEN(H25)</f>
        <v>504</v>
      </c>
      <c r="J25" s="4" t="n">
        <f aca="false">ROUND(I25/Budget!$B$5,0)</f>
        <v>34</v>
      </c>
      <c r="K25" s="4" t="s">
        <v>320</v>
      </c>
      <c r="L25" s="4" t="s">
        <v>321</v>
      </c>
      <c r="M25" s="4" t="s">
        <v>322</v>
      </c>
      <c r="N25" s="4" t="s">
        <v>323</v>
      </c>
      <c r="O25" s="4" t="s">
        <v>324</v>
      </c>
      <c r="P25" s="4" t="s">
        <v>325</v>
      </c>
      <c r="Q25" s="4" t="s">
        <v>113</v>
      </c>
      <c r="R25" s="4" t="s">
        <v>114</v>
      </c>
      <c r="S25" s="4" t="s">
        <v>326</v>
      </c>
      <c r="T25" s="4" t="s">
        <v>327</v>
      </c>
      <c r="U25" s="4" t="s">
        <v>44</v>
      </c>
    </row>
    <row r="26" customFormat="false" ht="150" hidden="false" customHeight="true" outlineLevel="0" collapsed="false">
      <c r="A26" s="4" t="n">
        <v>25</v>
      </c>
      <c r="B26" s="4" t="n">
        <v>9</v>
      </c>
      <c r="C26" s="5" t="n">
        <f aca="false">Budget!$B$4+B26-1</f>
        <v>46304</v>
      </c>
      <c r="D26" s="4" t="s">
        <v>29</v>
      </c>
      <c r="E26" s="4" t="s">
        <v>328</v>
      </c>
      <c r="F26" s="4" t="s">
        <v>31</v>
      </c>
      <c r="G26" s="4" t="s">
        <v>329</v>
      </c>
      <c r="H26" s="4" t="s">
        <v>330</v>
      </c>
      <c r="I26" s="4" t="n">
        <f aca="false">LEN(H26)</f>
        <v>490</v>
      </c>
      <c r="J26" s="4" t="n">
        <f aca="false">ROUND(I26/Budget!$B$5,0)</f>
        <v>33</v>
      </c>
      <c r="K26" s="4" t="s">
        <v>331</v>
      </c>
      <c r="L26" s="4" t="s">
        <v>332</v>
      </c>
      <c r="M26" s="4" t="s">
        <v>333</v>
      </c>
      <c r="N26" s="4" t="s">
        <v>334</v>
      </c>
      <c r="O26" s="4" t="s">
        <v>335</v>
      </c>
      <c r="P26" s="4" t="s">
        <v>336</v>
      </c>
      <c r="Q26" s="4" t="s">
        <v>85</v>
      </c>
      <c r="R26" s="4" t="s">
        <v>86</v>
      </c>
      <c r="S26" s="4" t="s">
        <v>337</v>
      </c>
      <c r="T26" s="4" t="s">
        <v>338</v>
      </c>
      <c r="U26" s="4" t="s">
        <v>44</v>
      </c>
    </row>
    <row r="27" customFormat="false" ht="150" hidden="false" customHeight="true" outlineLevel="0" collapsed="false">
      <c r="A27" s="4" t="n">
        <v>26</v>
      </c>
      <c r="B27" s="4" t="n">
        <v>9</v>
      </c>
      <c r="C27" s="5" t="n">
        <f aca="false">Budget!$B$4+B27-1</f>
        <v>46304</v>
      </c>
      <c r="D27" s="4" t="s">
        <v>45</v>
      </c>
      <c r="E27" s="4" t="s">
        <v>339</v>
      </c>
      <c r="F27" s="4" t="s">
        <v>47</v>
      </c>
      <c r="G27" s="4" t="s">
        <v>340</v>
      </c>
      <c r="H27" s="4" t="s">
        <v>341</v>
      </c>
      <c r="I27" s="4" t="n">
        <f aca="false">LEN(H27)</f>
        <v>491</v>
      </c>
      <c r="J27" s="4" t="n">
        <f aca="false">ROUND(I27/Budget!$B$5,0)</f>
        <v>33</v>
      </c>
      <c r="K27" s="4" t="s">
        <v>342</v>
      </c>
      <c r="L27" s="4" t="s">
        <v>343</v>
      </c>
      <c r="M27" s="4" t="s">
        <v>344</v>
      </c>
      <c r="N27" s="4" t="s">
        <v>345</v>
      </c>
      <c r="O27" s="4" t="s">
        <v>346</v>
      </c>
      <c r="P27" s="4" t="s">
        <v>347</v>
      </c>
      <c r="Q27" s="4" t="s">
        <v>56</v>
      </c>
      <c r="R27" s="4" t="s">
        <v>57</v>
      </c>
      <c r="S27" s="4" t="s">
        <v>348</v>
      </c>
      <c r="T27" s="4" t="s">
        <v>349</v>
      </c>
      <c r="U27" s="4" t="s">
        <v>44</v>
      </c>
    </row>
    <row r="28" customFormat="false" ht="150" hidden="false" customHeight="true" outlineLevel="0" collapsed="false">
      <c r="A28" s="4" t="n">
        <v>27</v>
      </c>
      <c r="B28" s="4" t="n">
        <v>9</v>
      </c>
      <c r="C28" s="5" t="n">
        <f aca="false">Budget!$B$4+B28-1</f>
        <v>46304</v>
      </c>
      <c r="D28" s="4" t="s">
        <v>60</v>
      </c>
      <c r="E28" s="4" t="s">
        <v>350</v>
      </c>
      <c r="F28" s="4" t="s">
        <v>62</v>
      </c>
      <c r="G28" s="4" t="s">
        <v>351</v>
      </c>
      <c r="H28" s="4" t="s">
        <v>352</v>
      </c>
      <c r="I28" s="4" t="n">
        <f aca="false">LEN(H28)</f>
        <v>496</v>
      </c>
      <c r="J28" s="4" t="n">
        <f aca="false">ROUND(I28/Budget!$B$5,0)</f>
        <v>33</v>
      </c>
      <c r="K28" s="4" t="s">
        <v>353</v>
      </c>
      <c r="L28" s="4" t="s">
        <v>354</v>
      </c>
      <c r="M28" s="4" t="s">
        <v>355</v>
      </c>
      <c r="N28" s="4" t="s">
        <v>356</v>
      </c>
      <c r="O28" s="4" t="s">
        <v>357</v>
      </c>
      <c r="P28" s="4" t="s">
        <v>358</v>
      </c>
      <c r="Q28" s="4" t="s">
        <v>359</v>
      </c>
      <c r="R28" s="4" t="s">
        <v>86</v>
      </c>
      <c r="S28" s="4" t="s">
        <v>360</v>
      </c>
      <c r="T28" s="4" t="s">
        <v>361</v>
      </c>
      <c r="U28" s="4" t="s">
        <v>44</v>
      </c>
    </row>
    <row r="29" customFormat="false" ht="150" hidden="false" customHeight="true" outlineLevel="0" collapsed="false">
      <c r="A29" s="4" t="n">
        <v>28</v>
      </c>
      <c r="B29" s="4" t="n">
        <v>10</v>
      </c>
      <c r="C29" s="5" t="n">
        <f aca="false">Budget!$B$4+B29-1</f>
        <v>46305</v>
      </c>
      <c r="D29" s="4" t="s">
        <v>29</v>
      </c>
      <c r="E29" s="4" t="s">
        <v>362</v>
      </c>
      <c r="F29" s="4" t="s">
        <v>76</v>
      </c>
      <c r="G29" s="4" t="s">
        <v>363</v>
      </c>
      <c r="H29" s="4" t="s">
        <v>364</v>
      </c>
      <c r="I29" s="4" t="n">
        <f aca="false">LEN(H29)</f>
        <v>476</v>
      </c>
      <c r="J29" s="4" t="n">
        <f aca="false">ROUND(I29/Budget!$B$5,0)</f>
        <v>32</v>
      </c>
      <c r="K29" s="4" t="s">
        <v>365</v>
      </c>
      <c r="L29" s="4" t="s">
        <v>366</v>
      </c>
      <c r="M29" s="4" t="s">
        <v>367</v>
      </c>
      <c r="N29" s="4" t="s">
        <v>368</v>
      </c>
      <c r="O29" s="4" t="s">
        <v>369</v>
      </c>
      <c r="P29" s="4" t="s">
        <v>370</v>
      </c>
      <c r="Q29" s="4" t="s">
        <v>371</v>
      </c>
      <c r="R29" s="4" t="s">
        <v>100</v>
      </c>
      <c r="S29" s="4" t="s">
        <v>372</v>
      </c>
      <c r="T29" s="4" t="s">
        <v>373</v>
      </c>
      <c r="U29" s="4" t="s">
        <v>44</v>
      </c>
    </row>
    <row r="30" customFormat="false" ht="150" hidden="false" customHeight="true" outlineLevel="0" collapsed="false">
      <c r="A30" s="4" t="n">
        <v>29</v>
      </c>
      <c r="B30" s="4" t="n">
        <v>10</v>
      </c>
      <c r="C30" s="5" t="n">
        <f aca="false">Budget!$B$4+B30-1</f>
        <v>46305</v>
      </c>
      <c r="D30" s="4" t="s">
        <v>45</v>
      </c>
      <c r="E30" s="4" t="s">
        <v>374</v>
      </c>
      <c r="F30" s="4" t="s">
        <v>90</v>
      </c>
      <c r="G30" s="4" t="s">
        <v>375</v>
      </c>
      <c r="H30" s="4" t="s">
        <v>376</v>
      </c>
      <c r="I30" s="4" t="n">
        <f aca="false">LEN(H30)</f>
        <v>504</v>
      </c>
      <c r="J30" s="4" t="n">
        <f aca="false">ROUND(I30/Budget!$B$5,0)</f>
        <v>34</v>
      </c>
      <c r="K30" s="4" t="s">
        <v>377</v>
      </c>
      <c r="L30" s="4" t="s">
        <v>378</v>
      </c>
      <c r="M30" s="4" t="s">
        <v>379</v>
      </c>
      <c r="N30" s="4" t="s">
        <v>380</v>
      </c>
      <c r="O30" s="4" t="s">
        <v>381</v>
      </c>
      <c r="P30" s="4" t="s">
        <v>382</v>
      </c>
      <c r="Q30" s="4" t="s">
        <v>383</v>
      </c>
      <c r="R30" s="4" t="s">
        <v>72</v>
      </c>
      <c r="S30" s="4" t="s">
        <v>384</v>
      </c>
      <c r="T30" s="4" t="s">
        <v>385</v>
      </c>
      <c r="U30" s="4" t="s">
        <v>44</v>
      </c>
    </row>
    <row r="31" customFormat="false" ht="150" hidden="false" customHeight="true" outlineLevel="0" collapsed="false">
      <c r="A31" s="4" t="n">
        <v>30</v>
      </c>
      <c r="B31" s="4" t="n">
        <v>10</v>
      </c>
      <c r="C31" s="5" t="n">
        <f aca="false">Budget!$B$4+B31-1</f>
        <v>46305</v>
      </c>
      <c r="D31" s="4" t="s">
        <v>60</v>
      </c>
      <c r="E31" s="4" t="s">
        <v>386</v>
      </c>
      <c r="F31" s="4" t="s">
        <v>104</v>
      </c>
      <c r="G31" s="4" t="s">
        <v>387</v>
      </c>
      <c r="H31" s="4" t="s">
        <v>388</v>
      </c>
      <c r="I31" s="4" t="n">
        <f aca="false">LEN(H31)</f>
        <v>503</v>
      </c>
      <c r="J31" s="4" t="n">
        <f aca="false">ROUND(I31/Budget!$B$5,0)</f>
        <v>34</v>
      </c>
      <c r="K31" s="4" t="s">
        <v>389</v>
      </c>
      <c r="L31" s="4" t="s">
        <v>390</v>
      </c>
      <c r="M31" s="4" t="s">
        <v>391</v>
      </c>
      <c r="N31" s="4" t="s">
        <v>392</v>
      </c>
      <c r="O31" s="4" t="s">
        <v>393</v>
      </c>
      <c r="P31" s="4" t="s">
        <v>394</v>
      </c>
      <c r="Q31" s="4" t="s">
        <v>395</v>
      </c>
      <c r="R31" s="4" t="s">
        <v>114</v>
      </c>
      <c r="S31" s="4" t="s">
        <v>396</v>
      </c>
      <c r="T31" s="4" t="s">
        <v>397</v>
      </c>
      <c r="U31" s="4" t="s">
        <v>44</v>
      </c>
    </row>
    <row r="32" customFormat="false" ht="150" hidden="false" customHeight="true" outlineLevel="0" collapsed="false">
      <c r="A32" s="4" t="n">
        <v>31</v>
      </c>
      <c r="B32" s="4" t="n">
        <v>11</v>
      </c>
      <c r="C32" s="5" t="n">
        <f aca="false">Budget!$B$4+B32-1</f>
        <v>46306</v>
      </c>
      <c r="D32" s="4" t="s">
        <v>29</v>
      </c>
      <c r="E32" s="4" t="s">
        <v>398</v>
      </c>
      <c r="F32" s="4" t="s">
        <v>31</v>
      </c>
      <c r="G32" s="4" t="s">
        <v>399</v>
      </c>
      <c r="H32" s="4" t="s">
        <v>400</v>
      </c>
      <c r="I32" s="4" t="n">
        <f aca="false">LEN(H32)</f>
        <v>477</v>
      </c>
      <c r="J32" s="4" t="n">
        <f aca="false">ROUND(I32/Budget!$B$5,0)</f>
        <v>32</v>
      </c>
      <c r="K32" s="4" t="s">
        <v>401</v>
      </c>
      <c r="L32" s="4" t="s">
        <v>402</v>
      </c>
      <c r="M32" s="4" t="s">
        <v>403</v>
      </c>
      <c r="N32" s="4" t="s">
        <v>404</v>
      </c>
      <c r="O32" s="4" t="s">
        <v>405</v>
      </c>
      <c r="P32" s="4" t="s">
        <v>406</v>
      </c>
      <c r="Q32" s="4" t="s">
        <v>359</v>
      </c>
      <c r="R32" s="4" t="s">
        <v>86</v>
      </c>
      <c r="S32" s="4" t="s">
        <v>407</v>
      </c>
      <c r="T32" s="4" t="s">
        <v>408</v>
      </c>
      <c r="U32" s="4" t="s">
        <v>44</v>
      </c>
    </row>
    <row r="33" customFormat="false" ht="150" hidden="false" customHeight="true" outlineLevel="0" collapsed="false">
      <c r="A33" s="4" t="n">
        <v>32</v>
      </c>
      <c r="B33" s="4" t="n">
        <v>11</v>
      </c>
      <c r="C33" s="5" t="n">
        <f aca="false">Budget!$B$4+B33-1</f>
        <v>46306</v>
      </c>
      <c r="D33" s="4" t="s">
        <v>45</v>
      </c>
      <c r="E33" s="4" t="s">
        <v>409</v>
      </c>
      <c r="F33" s="4" t="s">
        <v>47</v>
      </c>
      <c r="G33" s="4" t="s">
        <v>410</v>
      </c>
      <c r="H33" s="4" t="s">
        <v>411</v>
      </c>
      <c r="I33" s="4" t="n">
        <f aca="false">LEN(H33)</f>
        <v>531</v>
      </c>
      <c r="J33" s="4" t="n">
        <f aca="false">ROUND(I33/Budget!$B$5,0)</f>
        <v>35</v>
      </c>
      <c r="K33" s="4" t="s">
        <v>412</v>
      </c>
      <c r="L33" s="4" t="s">
        <v>413</v>
      </c>
      <c r="M33" s="4" t="s">
        <v>414</v>
      </c>
      <c r="N33" s="4" t="s">
        <v>415</v>
      </c>
      <c r="O33" s="4" t="s">
        <v>416</v>
      </c>
      <c r="P33" s="4" t="s">
        <v>417</v>
      </c>
      <c r="Q33" s="4" t="s">
        <v>418</v>
      </c>
      <c r="R33" s="4" t="s">
        <v>41</v>
      </c>
      <c r="S33" s="4" t="s">
        <v>419</v>
      </c>
      <c r="T33" s="4" t="s">
        <v>420</v>
      </c>
      <c r="U33" s="4" t="s">
        <v>44</v>
      </c>
    </row>
    <row r="34" customFormat="false" ht="150" hidden="false" customHeight="true" outlineLevel="0" collapsed="false">
      <c r="A34" s="4" t="n">
        <v>33</v>
      </c>
      <c r="B34" s="4" t="n">
        <v>11</v>
      </c>
      <c r="C34" s="5" t="n">
        <f aca="false">Budget!$B$4+B34-1</f>
        <v>46306</v>
      </c>
      <c r="D34" s="4" t="s">
        <v>60</v>
      </c>
      <c r="E34" s="4" t="s">
        <v>421</v>
      </c>
      <c r="F34" s="4" t="s">
        <v>62</v>
      </c>
      <c r="G34" s="4" t="s">
        <v>422</v>
      </c>
      <c r="H34" s="4" t="s">
        <v>423</v>
      </c>
      <c r="I34" s="4" t="n">
        <f aca="false">LEN(H34)</f>
        <v>480</v>
      </c>
      <c r="J34" s="4" t="n">
        <f aca="false">ROUND(I34/Budget!$B$5,0)</f>
        <v>32</v>
      </c>
      <c r="K34" s="4" t="s">
        <v>424</v>
      </c>
      <c r="L34" s="4" t="s">
        <v>425</v>
      </c>
      <c r="M34" s="4" t="s">
        <v>426</v>
      </c>
      <c r="N34" s="4" t="s">
        <v>427</v>
      </c>
      <c r="O34" s="4" t="s">
        <v>428</v>
      </c>
      <c r="P34" s="4" t="s">
        <v>429</v>
      </c>
      <c r="Q34" s="4" t="s">
        <v>430</v>
      </c>
      <c r="R34" s="4" t="s">
        <v>72</v>
      </c>
      <c r="S34" s="4" t="s">
        <v>431</v>
      </c>
      <c r="T34" s="4" t="s">
        <v>432</v>
      </c>
      <c r="U34" s="4" t="s">
        <v>44</v>
      </c>
    </row>
    <row r="35" customFormat="false" ht="150" hidden="false" customHeight="true" outlineLevel="0" collapsed="false">
      <c r="A35" s="4" t="n">
        <v>34</v>
      </c>
      <c r="B35" s="4" t="n">
        <v>12</v>
      </c>
      <c r="C35" s="5" t="n">
        <f aca="false">Budget!$B$4+B35-1</f>
        <v>46307</v>
      </c>
      <c r="D35" s="4" t="s">
        <v>29</v>
      </c>
      <c r="E35" s="4" t="s">
        <v>433</v>
      </c>
      <c r="F35" s="4" t="s">
        <v>76</v>
      </c>
      <c r="G35" s="4" t="s">
        <v>434</v>
      </c>
      <c r="H35" s="4" t="s">
        <v>435</v>
      </c>
      <c r="I35" s="4" t="n">
        <f aca="false">LEN(H35)</f>
        <v>496</v>
      </c>
      <c r="J35" s="4" t="n">
        <f aca="false">ROUND(I35/Budget!$B$5,0)</f>
        <v>33</v>
      </c>
      <c r="K35" s="4" t="s">
        <v>436</v>
      </c>
      <c r="L35" s="4" t="s">
        <v>437</v>
      </c>
      <c r="M35" s="4" t="s">
        <v>438</v>
      </c>
      <c r="N35" s="4" t="s">
        <v>439</v>
      </c>
      <c r="O35" s="4" t="s">
        <v>440</v>
      </c>
      <c r="P35" s="4" t="s">
        <v>441</v>
      </c>
      <c r="Q35" s="4" t="s">
        <v>442</v>
      </c>
      <c r="R35" s="4" t="s">
        <v>114</v>
      </c>
      <c r="S35" s="4" t="s">
        <v>443</v>
      </c>
      <c r="T35" s="4" t="s">
        <v>444</v>
      </c>
      <c r="U35" s="4" t="s">
        <v>44</v>
      </c>
    </row>
    <row r="36" customFormat="false" ht="150" hidden="false" customHeight="true" outlineLevel="0" collapsed="false">
      <c r="A36" s="4" t="n">
        <v>35</v>
      </c>
      <c r="B36" s="4" t="n">
        <v>12</v>
      </c>
      <c r="C36" s="5" t="n">
        <f aca="false">Budget!$B$4+B36-1</f>
        <v>46307</v>
      </c>
      <c r="D36" s="4" t="s">
        <v>45</v>
      </c>
      <c r="E36" s="4" t="s">
        <v>445</v>
      </c>
      <c r="F36" s="4" t="s">
        <v>90</v>
      </c>
      <c r="G36" s="4" t="s">
        <v>446</v>
      </c>
      <c r="H36" s="4" t="s">
        <v>447</v>
      </c>
      <c r="I36" s="4" t="n">
        <f aca="false">LEN(H36)</f>
        <v>506</v>
      </c>
      <c r="J36" s="4" t="n">
        <f aca="false">ROUND(I36/Budget!$B$5,0)</f>
        <v>34</v>
      </c>
      <c r="K36" s="4" t="s">
        <v>448</v>
      </c>
      <c r="L36" s="4" t="s">
        <v>449</v>
      </c>
      <c r="M36" s="4" t="s">
        <v>450</v>
      </c>
      <c r="N36" s="4" t="s">
        <v>451</v>
      </c>
      <c r="O36" s="4" t="s">
        <v>452</v>
      </c>
      <c r="P36" s="4" t="s">
        <v>453</v>
      </c>
      <c r="Q36" s="4" t="s">
        <v>454</v>
      </c>
      <c r="R36" s="4" t="s">
        <v>86</v>
      </c>
      <c r="S36" s="4" t="s">
        <v>455</v>
      </c>
      <c r="T36" s="4" t="s">
        <v>456</v>
      </c>
      <c r="U36" s="4" t="s">
        <v>44</v>
      </c>
    </row>
    <row r="37" customFormat="false" ht="150" hidden="false" customHeight="true" outlineLevel="0" collapsed="false">
      <c r="A37" s="4" t="n">
        <v>36</v>
      </c>
      <c r="B37" s="4" t="n">
        <v>12</v>
      </c>
      <c r="C37" s="5" t="n">
        <f aca="false">Budget!$B$4+B37-1</f>
        <v>46307</v>
      </c>
      <c r="D37" s="4" t="s">
        <v>60</v>
      </c>
      <c r="E37" s="4" t="s">
        <v>457</v>
      </c>
      <c r="F37" s="4" t="s">
        <v>104</v>
      </c>
      <c r="G37" s="4" t="s">
        <v>458</v>
      </c>
      <c r="H37" s="4" t="s">
        <v>459</v>
      </c>
      <c r="I37" s="4" t="n">
        <f aca="false">LEN(H37)</f>
        <v>493</v>
      </c>
      <c r="J37" s="4" t="n">
        <f aca="false">ROUND(I37/Budget!$B$5,0)</f>
        <v>33</v>
      </c>
      <c r="K37" s="4" t="s">
        <v>460</v>
      </c>
      <c r="L37" s="4" t="s">
        <v>461</v>
      </c>
      <c r="M37" s="4" t="s">
        <v>462</v>
      </c>
      <c r="N37" s="4" t="s">
        <v>463</v>
      </c>
      <c r="O37" s="4" t="s">
        <v>464</v>
      </c>
      <c r="P37" s="4" t="s">
        <v>465</v>
      </c>
      <c r="Q37" s="4" t="s">
        <v>466</v>
      </c>
      <c r="R37" s="4" t="s">
        <v>41</v>
      </c>
      <c r="S37" s="4" t="s">
        <v>467</v>
      </c>
      <c r="T37" s="4" t="s">
        <v>468</v>
      </c>
      <c r="U37" s="4" t="s">
        <v>44</v>
      </c>
    </row>
    <row r="38" customFormat="false" ht="150" hidden="false" customHeight="true" outlineLevel="0" collapsed="false">
      <c r="A38" s="4" t="n">
        <v>37</v>
      </c>
      <c r="B38" s="4" t="n">
        <v>13</v>
      </c>
      <c r="C38" s="5" t="n">
        <f aca="false">Budget!$B$4+B38-1</f>
        <v>46308</v>
      </c>
      <c r="D38" s="4" t="s">
        <v>29</v>
      </c>
      <c r="E38" s="4" t="s">
        <v>469</v>
      </c>
      <c r="F38" s="4" t="s">
        <v>31</v>
      </c>
      <c r="G38" s="4" t="s">
        <v>470</v>
      </c>
      <c r="H38" s="4" t="s">
        <v>471</v>
      </c>
      <c r="I38" s="4" t="n">
        <f aca="false">LEN(H38)</f>
        <v>498</v>
      </c>
      <c r="J38" s="4" t="n">
        <f aca="false">ROUND(I38/Budget!$B$5,0)</f>
        <v>33</v>
      </c>
      <c r="K38" s="4" t="s">
        <v>472</v>
      </c>
      <c r="L38" s="4" t="s">
        <v>473</v>
      </c>
      <c r="M38" s="4" t="s">
        <v>474</v>
      </c>
      <c r="N38" s="4" t="s">
        <v>475</v>
      </c>
      <c r="O38" s="4" t="s">
        <v>476</v>
      </c>
      <c r="P38" s="4" t="s">
        <v>477</v>
      </c>
      <c r="Q38" s="4" t="s">
        <v>478</v>
      </c>
      <c r="R38" s="4" t="s">
        <v>72</v>
      </c>
      <c r="S38" s="4" t="s">
        <v>479</v>
      </c>
      <c r="T38" s="4" t="s">
        <v>480</v>
      </c>
      <c r="U38" s="4" t="s">
        <v>44</v>
      </c>
    </row>
    <row r="39" customFormat="false" ht="150" hidden="false" customHeight="true" outlineLevel="0" collapsed="false">
      <c r="A39" s="4" t="n">
        <v>38</v>
      </c>
      <c r="B39" s="4" t="n">
        <v>13</v>
      </c>
      <c r="C39" s="5" t="n">
        <f aca="false">Budget!$B$4+B39-1</f>
        <v>46308</v>
      </c>
      <c r="D39" s="4" t="s">
        <v>45</v>
      </c>
      <c r="E39" s="4" t="s">
        <v>481</v>
      </c>
      <c r="F39" s="4" t="s">
        <v>47</v>
      </c>
      <c r="G39" s="4" t="s">
        <v>482</v>
      </c>
      <c r="H39" s="4" t="s">
        <v>483</v>
      </c>
      <c r="I39" s="4" t="n">
        <f aca="false">LEN(H39)</f>
        <v>487</v>
      </c>
      <c r="J39" s="4" t="n">
        <f aca="false">ROUND(I39/Budget!$B$5,0)</f>
        <v>32</v>
      </c>
      <c r="K39" s="4" t="s">
        <v>484</v>
      </c>
      <c r="L39" s="4" t="s">
        <v>485</v>
      </c>
      <c r="M39" s="4" t="s">
        <v>486</v>
      </c>
      <c r="N39" s="4" t="s">
        <v>487</v>
      </c>
      <c r="O39" s="4" t="s">
        <v>488</v>
      </c>
      <c r="P39" s="4" t="s">
        <v>489</v>
      </c>
      <c r="Q39" s="4" t="s">
        <v>490</v>
      </c>
      <c r="R39" s="4" t="s">
        <v>114</v>
      </c>
      <c r="S39" s="4" t="s">
        <v>491</v>
      </c>
      <c r="T39" s="4" t="s">
        <v>492</v>
      </c>
      <c r="U39" s="4" t="s">
        <v>44</v>
      </c>
    </row>
    <row r="40" customFormat="false" ht="150" hidden="false" customHeight="true" outlineLevel="0" collapsed="false">
      <c r="A40" s="4" t="n">
        <v>39</v>
      </c>
      <c r="B40" s="4" t="n">
        <v>13</v>
      </c>
      <c r="C40" s="5" t="n">
        <f aca="false">Budget!$B$4+B40-1</f>
        <v>46308</v>
      </c>
      <c r="D40" s="4" t="s">
        <v>60</v>
      </c>
      <c r="E40" s="4" t="s">
        <v>493</v>
      </c>
      <c r="F40" s="4" t="s">
        <v>62</v>
      </c>
      <c r="G40" s="4" t="s">
        <v>494</v>
      </c>
      <c r="H40" s="4" t="s">
        <v>495</v>
      </c>
      <c r="I40" s="4" t="n">
        <f aca="false">LEN(H40)</f>
        <v>517</v>
      </c>
      <c r="J40" s="4" t="n">
        <f aca="false">ROUND(I40/Budget!$B$5,0)</f>
        <v>34</v>
      </c>
      <c r="K40" s="4" t="s">
        <v>496</v>
      </c>
      <c r="L40" s="4" t="s">
        <v>497</v>
      </c>
      <c r="M40" s="4" t="s">
        <v>498</v>
      </c>
      <c r="N40" s="4" t="s">
        <v>499</v>
      </c>
      <c r="O40" s="4" t="s">
        <v>500</v>
      </c>
      <c r="P40" s="4" t="s">
        <v>501</v>
      </c>
      <c r="Q40" s="4" t="s">
        <v>113</v>
      </c>
      <c r="R40" s="4" t="s">
        <v>86</v>
      </c>
      <c r="S40" s="4" t="s">
        <v>502</v>
      </c>
      <c r="T40" s="4" t="s">
        <v>503</v>
      </c>
      <c r="U40" s="4" t="s">
        <v>44</v>
      </c>
    </row>
    <row r="41" customFormat="false" ht="150" hidden="false" customHeight="true" outlineLevel="0" collapsed="false">
      <c r="A41" s="4" t="n">
        <v>40</v>
      </c>
      <c r="B41" s="4" t="n">
        <v>14</v>
      </c>
      <c r="C41" s="5" t="n">
        <f aca="false">Budget!$B$4+B41-1</f>
        <v>46309</v>
      </c>
      <c r="D41" s="4" t="s">
        <v>29</v>
      </c>
      <c r="E41" s="4" t="s">
        <v>504</v>
      </c>
      <c r="F41" s="4" t="s">
        <v>76</v>
      </c>
      <c r="G41" s="4" t="s">
        <v>505</v>
      </c>
      <c r="H41" s="4" t="s">
        <v>506</v>
      </c>
      <c r="I41" s="4" t="n">
        <f aca="false">LEN(H41)</f>
        <v>470</v>
      </c>
      <c r="J41" s="4" t="n">
        <f aca="false">ROUND(I41/Budget!$B$5,0)</f>
        <v>31</v>
      </c>
      <c r="K41" s="4" t="s">
        <v>507</v>
      </c>
      <c r="L41" s="4" t="s">
        <v>508</v>
      </c>
      <c r="M41" s="4" t="s">
        <v>509</v>
      </c>
      <c r="N41" s="4" t="s">
        <v>510</v>
      </c>
      <c r="O41" s="4" t="s">
        <v>511</v>
      </c>
      <c r="P41" s="4" t="s">
        <v>512</v>
      </c>
      <c r="Q41" s="4" t="s">
        <v>85</v>
      </c>
      <c r="R41" s="4" t="s">
        <v>57</v>
      </c>
      <c r="S41" s="4" t="s">
        <v>513</v>
      </c>
      <c r="T41" s="4" t="s">
        <v>514</v>
      </c>
      <c r="U41" s="4" t="s">
        <v>44</v>
      </c>
    </row>
    <row r="42" customFormat="false" ht="150" hidden="false" customHeight="true" outlineLevel="0" collapsed="false">
      <c r="A42" s="4" t="n">
        <v>41</v>
      </c>
      <c r="B42" s="4" t="n">
        <v>14</v>
      </c>
      <c r="C42" s="5" t="n">
        <f aca="false">Budget!$B$4+B42-1</f>
        <v>46309</v>
      </c>
      <c r="D42" s="4" t="s">
        <v>45</v>
      </c>
      <c r="E42" s="4" t="s">
        <v>515</v>
      </c>
      <c r="F42" s="4" t="s">
        <v>90</v>
      </c>
      <c r="G42" s="4" t="s">
        <v>516</v>
      </c>
      <c r="H42" s="4" t="s">
        <v>517</v>
      </c>
      <c r="I42" s="4" t="n">
        <f aca="false">LEN(H42)</f>
        <v>481</v>
      </c>
      <c r="J42" s="4" t="n">
        <f aca="false">ROUND(I42/Budget!$B$5,0)</f>
        <v>32</v>
      </c>
      <c r="K42" s="4" t="s">
        <v>518</v>
      </c>
      <c r="L42" s="4" t="s">
        <v>519</v>
      </c>
      <c r="M42" s="4" t="s">
        <v>520</v>
      </c>
      <c r="N42" s="4" t="s">
        <v>521</v>
      </c>
      <c r="O42" s="4" t="s">
        <v>522</v>
      </c>
      <c r="P42" s="4" t="s">
        <v>523</v>
      </c>
      <c r="Q42" s="4" t="s">
        <v>395</v>
      </c>
      <c r="R42" s="4" t="s">
        <v>114</v>
      </c>
      <c r="S42" s="4" t="s">
        <v>524</v>
      </c>
      <c r="T42" s="4" t="s">
        <v>525</v>
      </c>
      <c r="U42" s="4" t="s">
        <v>44</v>
      </c>
    </row>
    <row r="43" customFormat="false" ht="150" hidden="false" customHeight="true" outlineLevel="0" collapsed="false">
      <c r="A43" s="4" t="n">
        <v>42</v>
      </c>
      <c r="B43" s="4" t="n">
        <v>14</v>
      </c>
      <c r="C43" s="5" t="n">
        <f aca="false">Budget!$B$4+B43-1</f>
        <v>46309</v>
      </c>
      <c r="D43" s="4" t="s">
        <v>60</v>
      </c>
      <c r="E43" s="4" t="s">
        <v>526</v>
      </c>
      <c r="F43" s="4" t="s">
        <v>104</v>
      </c>
      <c r="G43" s="4" t="s">
        <v>527</v>
      </c>
      <c r="H43" s="4" t="s">
        <v>528</v>
      </c>
      <c r="I43" s="4" t="n">
        <f aca="false">LEN(H43)</f>
        <v>493</v>
      </c>
      <c r="J43" s="4" t="n">
        <f aca="false">ROUND(I43/Budget!$B$5,0)</f>
        <v>33</v>
      </c>
      <c r="K43" s="4" t="s">
        <v>529</v>
      </c>
      <c r="L43" s="4" t="s">
        <v>530</v>
      </c>
      <c r="M43" s="4" t="s">
        <v>531</v>
      </c>
      <c r="N43" s="4" t="s">
        <v>532</v>
      </c>
      <c r="O43" s="4" t="s">
        <v>533</v>
      </c>
      <c r="P43" s="4" t="s">
        <v>534</v>
      </c>
      <c r="Q43" s="4" t="s">
        <v>113</v>
      </c>
      <c r="R43" s="4" t="s">
        <v>86</v>
      </c>
      <c r="S43" s="4" t="s">
        <v>535</v>
      </c>
      <c r="T43" s="4" t="s">
        <v>536</v>
      </c>
      <c r="U43" s="4" t="s">
        <v>44</v>
      </c>
    </row>
    <row r="44" customFormat="false" ht="150" hidden="false" customHeight="true" outlineLevel="0" collapsed="false">
      <c r="A44" s="4" t="n">
        <v>43</v>
      </c>
      <c r="B44" s="4" t="n">
        <v>15</v>
      </c>
      <c r="C44" s="5" t="n">
        <f aca="false">Budget!$B$4+B44-1</f>
        <v>46310</v>
      </c>
      <c r="D44" s="4" t="s">
        <v>29</v>
      </c>
      <c r="E44" s="4" t="s">
        <v>537</v>
      </c>
      <c r="F44" s="4" t="s">
        <v>31</v>
      </c>
      <c r="G44" s="4" t="s">
        <v>538</v>
      </c>
      <c r="H44" s="4" t="s">
        <v>539</v>
      </c>
      <c r="I44" s="4" t="n">
        <f aca="false">LEN(H44)</f>
        <v>484</v>
      </c>
      <c r="J44" s="4" t="n">
        <f aca="false">ROUND(I44/Budget!$B$5,0)</f>
        <v>32</v>
      </c>
      <c r="K44" s="4" t="s">
        <v>540</v>
      </c>
      <c r="L44" s="4" t="s">
        <v>541</v>
      </c>
      <c r="M44" s="4" t="s">
        <v>542</v>
      </c>
      <c r="N44" s="4" t="s">
        <v>543</v>
      </c>
      <c r="O44" s="4" t="s">
        <v>544</v>
      </c>
      <c r="P44" s="4" t="s">
        <v>545</v>
      </c>
      <c r="Q44" s="4" t="s">
        <v>113</v>
      </c>
      <c r="R44" s="4" t="s">
        <v>86</v>
      </c>
      <c r="S44" s="4" t="s">
        <v>546</v>
      </c>
      <c r="T44" s="4" t="s">
        <v>547</v>
      </c>
      <c r="U44" s="4" t="s">
        <v>44</v>
      </c>
    </row>
    <row r="45" customFormat="false" ht="150" hidden="false" customHeight="true" outlineLevel="0" collapsed="false">
      <c r="A45" s="4" t="n">
        <v>44</v>
      </c>
      <c r="B45" s="4" t="n">
        <v>15</v>
      </c>
      <c r="C45" s="5" t="n">
        <f aca="false">Budget!$B$4+B45-1</f>
        <v>46310</v>
      </c>
      <c r="D45" s="4" t="s">
        <v>45</v>
      </c>
      <c r="E45" s="4" t="s">
        <v>548</v>
      </c>
      <c r="F45" s="4" t="s">
        <v>47</v>
      </c>
      <c r="G45" s="4" t="s">
        <v>549</v>
      </c>
      <c r="H45" s="4" t="s">
        <v>550</v>
      </c>
      <c r="I45" s="4" t="n">
        <f aca="false">LEN(H45)</f>
        <v>508</v>
      </c>
      <c r="J45" s="4" t="n">
        <f aca="false">ROUND(I45/Budget!$B$5,0)</f>
        <v>34</v>
      </c>
      <c r="K45" s="4" t="s">
        <v>551</v>
      </c>
      <c r="L45" s="4" t="s">
        <v>552</v>
      </c>
      <c r="M45" s="4" t="s">
        <v>553</v>
      </c>
      <c r="N45" s="4" t="s">
        <v>554</v>
      </c>
      <c r="O45" s="4" t="s">
        <v>555</v>
      </c>
      <c r="P45" s="4" t="s">
        <v>556</v>
      </c>
      <c r="Q45" s="4" t="s">
        <v>230</v>
      </c>
      <c r="R45" s="4" t="s">
        <v>57</v>
      </c>
      <c r="S45" s="4" t="s">
        <v>557</v>
      </c>
      <c r="T45" s="4" t="s">
        <v>558</v>
      </c>
      <c r="U45" s="4" t="s">
        <v>44</v>
      </c>
    </row>
    <row r="46" customFormat="false" ht="150" hidden="false" customHeight="true" outlineLevel="0" collapsed="false">
      <c r="A46" s="4" t="n">
        <v>45</v>
      </c>
      <c r="B46" s="4" t="n">
        <v>15</v>
      </c>
      <c r="C46" s="5" t="n">
        <f aca="false">Budget!$B$4+B46-1</f>
        <v>46310</v>
      </c>
      <c r="D46" s="4" t="s">
        <v>60</v>
      </c>
      <c r="E46" s="4" t="s">
        <v>559</v>
      </c>
      <c r="F46" s="4" t="s">
        <v>62</v>
      </c>
      <c r="G46" s="4" t="s">
        <v>560</v>
      </c>
      <c r="H46" s="4" t="s">
        <v>561</v>
      </c>
      <c r="I46" s="4" t="n">
        <f aca="false">LEN(H46)</f>
        <v>486</v>
      </c>
      <c r="J46" s="4" t="n">
        <f aca="false">ROUND(I46/Budget!$B$5,0)</f>
        <v>32</v>
      </c>
      <c r="K46" s="4" t="s">
        <v>562</v>
      </c>
      <c r="L46" s="4" t="s">
        <v>563</v>
      </c>
      <c r="M46" s="4" t="s">
        <v>564</v>
      </c>
      <c r="N46" s="4" t="s">
        <v>565</v>
      </c>
      <c r="O46" s="4" t="s">
        <v>566</v>
      </c>
      <c r="P46" s="4" t="s">
        <v>567</v>
      </c>
      <c r="Q46" s="4" t="s">
        <v>568</v>
      </c>
      <c r="R46" s="4" t="s">
        <v>100</v>
      </c>
      <c r="S46" s="4" t="s">
        <v>569</v>
      </c>
      <c r="T46" s="4" t="s">
        <v>570</v>
      </c>
      <c r="U46" s="4" t="s">
        <v>44</v>
      </c>
    </row>
    <row r="47" customFormat="false" ht="150" hidden="false" customHeight="true" outlineLevel="0" collapsed="false">
      <c r="A47" s="4" t="n">
        <v>46</v>
      </c>
      <c r="B47" s="4" t="n">
        <v>16</v>
      </c>
      <c r="C47" s="5" t="n">
        <f aca="false">Budget!$B$4+B47-1</f>
        <v>46311</v>
      </c>
      <c r="D47" s="4" t="s">
        <v>29</v>
      </c>
      <c r="E47" s="4" t="s">
        <v>571</v>
      </c>
      <c r="F47" s="4" t="s">
        <v>76</v>
      </c>
      <c r="G47" s="4" t="s">
        <v>572</v>
      </c>
      <c r="H47" s="4" t="s">
        <v>573</v>
      </c>
      <c r="I47" s="4" t="n">
        <f aca="false">LEN(H47)</f>
        <v>484</v>
      </c>
      <c r="J47" s="4" t="n">
        <f aca="false">ROUND(I47/Budget!$B$5,0)</f>
        <v>32</v>
      </c>
      <c r="K47" s="4" t="s">
        <v>574</v>
      </c>
      <c r="L47" s="4" t="s">
        <v>575</v>
      </c>
      <c r="M47" s="4" t="s">
        <v>576</v>
      </c>
      <c r="N47" s="4" t="s">
        <v>577</v>
      </c>
      <c r="O47" s="4" t="s">
        <v>578</v>
      </c>
      <c r="P47" s="4" t="s">
        <v>579</v>
      </c>
      <c r="Q47" s="4" t="s">
        <v>580</v>
      </c>
      <c r="R47" s="4" t="s">
        <v>57</v>
      </c>
      <c r="S47" s="4" t="s">
        <v>581</v>
      </c>
      <c r="T47" s="4" t="s">
        <v>582</v>
      </c>
      <c r="U47" s="4" t="s">
        <v>44</v>
      </c>
    </row>
    <row r="48" customFormat="false" ht="150" hidden="false" customHeight="true" outlineLevel="0" collapsed="false">
      <c r="A48" s="4" t="n">
        <v>47</v>
      </c>
      <c r="B48" s="4" t="n">
        <v>16</v>
      </c>
      <c r="C48" s="5" t="n">
        <f aca="false">Budget!$B$4+B48-1</f>
        <v>46311</v>
      </c>
      <c r="D48" s="4" t="s">
        <v>45</v>
      </c>
      <c r="E48" s="4" t="s">
        <v>583</v>
      </c>
      <c r="F48" s="4" t="s">
        <v>90</v>
      </c>
      <c r="G48" s="4" t="s">
        <v>584</v>
      </c>
      <c r="H48" s="4" t="s">
        <v>585</v>
      </c>
      <c r="I48" s="4" t="n">
        <f aca="false">LEN(H48)</f>
        <v>499</v>
      </c>
      <c r="J48" s="4" t="n">
        <f aca="false">ROUND(I48/Budget!$B$5,0)</f>
        <v>33</v>
      </c>
      <c r="K48" s="4" t="s">
        <v>586</v>
      </c>
      <c r="L48" s="4" t="s">
        <v>587</v>
      </c>
      <c r="M48" s="4" t="s">
        <v>588</v>
      </c>
      <c r="N48" s="4" t="s">
        <v>589</v>
      </c>
      <c r="O48" s="4" t="s">
        <v>590</v>
      </c>
      <c r="P48" s="4" t="s">
        <v>591</v>
      </c>
      <c r="Q48" s="4" t="s">
        <v>113</v>
      </c>
      <c r="R48" s="4" t="s">
        <v>100</v>
      </c>
      <c r="S48" s="4" t="s">
        <v>592</v>
      </c>
      <c r="T48" s="4" t="s">
        <v>593</v>
      </c>
      <c r="U48" s="4" t="s">
        <v>44</v>
      </c>
    </row>
    <row r="49" customFormat="false" ht="150" hidden="false" customHeight="true" outlineLevel="0" collapsed="false">
      <c r="A49" s="4" t="n">
        <v>48</v>
      </c>
      <c r="B49" s="4" t="n">
        <v>16</v>
      </c>
      <c r="C49" s="5" t="n">
        <f aca="false">Budget!$B$4+B49-1</f>
        <v>46311</v>
      </c>
      <c r="D49" s="4" t="s">
        <v>60</v>
      </c>
      <c r="E49" s="4" t="s">
        <v>594</v>
      </c>
      <c r="F49" s="4" t="s">
        <v>104</v>
      </c>
      <c r="G49" s="4" t="s">
        <v>595</v>
      </c>
      <c r="H49" s="4" t="s">
        <v>596</v>
      </c>
      <c r="I49" s="4" t="n">
        <f aca="false">LEN(H49)</f>
        <v>470</v>
      </c>
      <c r="J49" s="4" t="n">
        <f aca="false">ROUND(I49/Budget!$B$5,0)</f>
        <v>31</v>
      </c>
      <c r="K49" s="4" t="s">
        <v>597</v>
      </c>
      <c r="L49" s="4" t="s">
        <v>598</v>
      </c>
      <c r="M49" s="4" t="s">
        <v>599</v>
      </c>
      <c r="N49" s="4" t="s">
        <v>600</v>
      </c>
      <c r="O49" s="4" t="s">
        <v>601</v>
      </c>
      <c r="P49" s="4" t="s">
        <v>602</v>
      </c>
      <c r="Q49" s="4" t="s">
        <v>490</v>
      </c>
      <c r="R49" s="4" t="s">
        <v>114</v>
      </c>
      <c r="S49" s="4" t="s">
        <v>603</v>
      </c>
      <c r="T49" s="4" t="s">
        <v>604</v>
      </c>
      <c r="U49" s="4" t="s">
        <v>44</v>
      </c>
    </row>
    <row r="50" customFormat="false" ht="150" hidden="false" customHeight="true" outlineLevel="0" collapsed="false">
      <c r="A50" s="4" t="n">
        <v>49</v>
      </c>
      <c r="B50" s="4" t="n">
        <v>17</v>
      </c>
      <c r="C50" s="5" t="n">
        <f aca="false">Budget!$B$4+B50-1</f>
        <v>46312</v>
      </c>
      <c r="D50" s="4" t="s">
        <v>29</v>
      </c>
      <c r="E50" s="4" t="s">
        <v>605</v>
      </c>
      <c r="F50" s="4" t="s">
        <v>31</v>
      </c>
      <c r="G50" s="4" t="s">
        <v>606</v>
      </c>
      <c r="H50" s="4" t="s">
        <v>607</v>
      </c>
      <c r="I50" s="4" t="n">
        <f aca="false">LEN(H50)</f>
        <v>495</v>
      </c>
      <c r="J50" s="4" t="n">
        <f aca="false">ROUND(I50/Budget!$B$5,0)</f>
        <v>33</v>
      </c>
      <c r="K50" s="4" t="s">
        <v>608</v>
      </c>
      <c r="L50" s="4" t="s">
        <v>609</v>
      </c>
      <c r="M50" s="4" t="s">
        <v>610</v>
      </c>
      <c r="N50" s="4" t="s">
        <v>611</v>
      </c>
      <c r="O50" s="4" t="s">
        <v>612</v>
      </c>
      <c r="P50" s="4" t="s">
        <v>613</v>
      </c>
      <c r="Q50" s="4" t="s">
        <v>614</v>
      </c>
      <c r="R50" s="4" t="s">
        <v>86</v>
      </c>
      <c r="S50" s="4" t="s">
        <v>615</v>
      </c>
      <c r="T50" s="4" t="s">
        <v>616</v>
      </c>
      <c r="U50" s="4" t="s">
        <v>44</v>
      </c>
    </row>
    <row r="51" customFormat="false" ht="150" hidden="false" customHeight="true" outlineLevel="0" collapsed="false">
      <c r="A51" s="4" t="n">
        <v>50</v>
      </c>
      <c r="B51" s="4" t="n">
        <v>17</v>
      </c>
      <c r="C51" s="5" t="n">
        <f aca="false">Budget!$B$4+B51-1</f>
        <v>46312</v>
      </c>
      <c r="D51" s="4" t="s">
        <v>45</v>
      </c>
      <c r="E51" s="4" t="s">
        <v>617</v>
      </c>
      <c r="F51" s="4" t="s">
        <v>47</v>
      </c>
      <c r="G51" s="4" t="s">
        <v>618</v>
      </c>
      <c r="H51" s="4" t="s">
        <v>619</v>
      </c>
      <c r="I51" s="4" t="n">
        <f aca="false">LEN(H51)</f>
        <v>511</v>
      </c>
      <c r="J51" s="4" t="n">
        <f aca="false">ROUND(I51/Budget!$B$5,0)</f>
        <v>34</v>
      </c>
      <c r="K51" s="4" t="s">
        <v>620</v>
      </c>
      <c r="L51" s="4" t="s">
        <v>621</v>
      </c>
      <c r="M51" s="4" t="s">
        <v>622</v>
      </c>
      <c r="N51" s="4" t="s">
        <v>623</v>
      </c>
      <c r="O51" s="4" t="s">
        <v>624</v>
      </c>
      <c r="P51" s="4" t="s">
        <v>625</v>
      </c>
      <c r="Q51" s="4" t="s">
        <v>626</v>
      </c>
      <c r="R51" s="4" t="s">
        <v>57</v>
      </c>
      <c r="S51" s="4" t="s">
        <v>627</v>
      </c>
      <c r="T51" s="4" t="s">
        <v>628</v>
      </c>
      <c r="U51" s="4" t="s">
        <v>44</v>
      </c>
    </row>
    <row r="52" customFormat="false" ht="150" hidden="false" customHeight="true" outlineLevel="0" collapsed="false">
      <c r="A52" s="4" t="n">
        <v>51</v>
      </c>
      <c r="B52" s="4" t="n">
        <v>17</v>
      </c>
      <c r="C52" s="5" t="n">
        <f aca="false">Budget!$B$4+B52-1</f>
        <v>46312</v>
      </c>
      <c r="D52" s="4" t="s">
        <v>60</v>
      </c>
      <c r="E52" s="4" t="s">
        <v>629</v>
      </c>
      <c r="F52" s="4" t="s">
        <v>62</v>
      </c>
      <c r="G52" s="4" t="s">
        <v>630</v>
      </c>
      <c r="H52" s="4" t="s">
        <v>631</v>
      </c>
      <c r="I52" s="4" t="n">
        <f aca="false">LEN(H52)</f>
        <v>489</v>
      </c>
      <c r="J52" s="4" t="n">
        <f aca="false">ROUND(I52/Budget!$B$5,0)</f>
        <v>33</v>
      </c>
      <c r="K52" s="4" t="s">
        <v>632</v>
      </c>
      <c r="L52" s="4" t="s">
        <v>633</v>
      </c>
      <c r="M52" s="4" t="s">
        <v>634</v>
      </c>
      <c r="N52" s="4" t="s">
        <v>635</v>
      </c>
      <c r="O52" s="4" t="s">
        <v>636</v>
      </c>
      <c r="P52" s="4" t="s">
        <v>637</v>
      </c>
      <c r="Q52" s="4" t="s">
        <v>113</v>
      </c>
      <c r="R52" s="4" t="s">
        <v>114</v>
      </c>
      <c r="S52" s="4" t="s">
        <v>638</v>
      </c>
      <c r="T52" s="4" t="s">
        <v>639</v>
      </c>
      <c r="U52" s="4" t="s">
        <v>44</v>
      </c>
    </row>
    <row r="53" customFormat="false" ht="150" hidden="false" customHeight="true" outlineLevel="0" collapsed="false">
      <c r="A53" s="4" t="n">
        <v>52</v>
      </c>
      <c r="B53" s="4" t="n">
        <v>18</v>
      </c>
      <c r="C53" s="5" t="n">
        <f aca="false">Budget!$B$4+B53-1</f>
        <v>46313</v>
      </c>
      <c r="D53" s="4" t="s">
        <v>29</v>
      </c>
      <c r="E53" s="4" t="s">
        <v>640</v>
      </c>
      <c r="F53" s="4" t="s">
        <v>76</v>
      </c>
      <c r="G53" s="4" t="s">
        <v>641</v>
      </c>
      <c r="H53" s="4" t="s">
        <v>642</v>
      </c>
      <c r="I53" s="4" t="n">
        <f aca="false">LEN(H53)</f>
        <v>483</v>
      </c>
      <c r="J53" s="4" t="n">
        <f aca="false">ROUND(I53/Budget!$B$5,0)</f>
        <v>32</v>
      </c>
      <c r="K53" s="4" t="s">
        <v>643</v>
      </c>
      <c r="L53" s="4" t="s">
        <v>644</v>
      </c>
      <c r="M53" s="4" t="s">
        <v>645</v>
      </c>
      <c r="N53" s="4" t="s">
        <v>646</v>
      </c>
      <c r="O53" s="4" t="s">
        <v>647</v>
      </c>
      <c r="P53" s="4" t="s">
        <v>648</v>
      </c>
      <c r="Q53" s="4" t="s">
        <v>649</v>
      </c>
      <c r="R53" s="4" t="s">
        <v>72</v>
      </c>
      <c r="S53" s="4" t="s">
        <v>650</v>
      </c>
      <c r="T53" s="4" t="s">
        <v>651</v>
      </c>
      <c r="U53" s="4" t="s">
        <v>44</v>
      </c>
    </row>
    <row r="54" customFormat="false" ht="150" hidden="false" customHeight="true" outlineLevel="0" collapsed="false">
      <c r="A54" s="4" t="n">
        <v>53</v>
      </c>
      <c r="B54" s="4" t="n">
        <v>18</v>
      </c>
      <c r="C54" s="5" t="n">
        <f aca="false">Budget!$B$4+B54-1</f>
        <v>46313</v>
      </c>
      <c r="D54" s="4" t="s">
        <v>45</v>
      </c>
      <c r="E54" s="4" t="s">
        <v>652</v>
      </c>
      <c r="F54" s="4" t="s">
        <v>90</v>
      </c>
      <c r="G54" s="4" t="s">
        <v>653</v>
      </c>
      <c r="H54" s="4" t="s">
        <v>654</v>
      </c>
      <c r="I54" s="4" t="n">
        <f aca="false">LEN(H54)</f>
        <v>469</v>
      </c>
      <c r="J54" s="4" t="n">
        <f aca="false">ROUND(I54/Budget!$B$5,0)</f>
        <v>31</v>
      </c>
      <c r="K54" s="4" t="s">
        <v>655</v>
      </c>
      <c r="L54" s="4" t="s">
        <v>656</v>
      </c>
      <c r="M54" s="4" t="s">
        <v>657</v>
      </c>
      <c r="N54" s="4" t="s">
        <v>658</v>
      </c>
      <c r="O54" s="4" t="s">
        <v>659</v>
      </c>
      <c r="P54" s="4" t="s">
        <v>660</v>
      </c>
      <c r="Q54" s="4" t="s">
        <v>661</v>
      </c>
      <c r="R54" s="4" t="s">
        <v>57</v>
      </c>
      <c r="S54" s="4" t="s">
        <v>662</v>
      </c>
      <c r="T54" s="4" t="s">
        <v>663</v>
      </c>
      <c r="U54" s="4" t="s">
        <v>44</v>
      </c>
    </row>
    <row r="55" customFormat="false" ht="150" hidden="false" customHeight="true" outlineLevel="0" collapsed="false">
      <c r="A55" s="4" t="n">
        <v>54</v>
      </c>
      <c r="B55" s="4" t="n">
        <v>18</v>
      </c>
      <c r="C55" s="5" t="n">
        <f aca="false">Budget!$B$4+B55-1</f>
        <v>46313</v>
      </c>
      <c r="D55" s="4" t="s">
        <v>60</v>
      </c>
      <c r="E55" s="4" t="s">
        <v>664</v>
      </c>
      <c r="F55" s="4" t="s">
        <v>104</v>
      </c>
      <c r="G55" s="4" t="s">
        <v>665</v>
      </c>
      <c r="H55" s="4" t="s">
        <v>666</v>
      </c>
      <c r="I55" s="4" t="n">
        <f aca="false">LEN(H55)</f>
        <v>479</v>
      </c>
      <c r="J55" s="4" t="n">
        <f aca="false">ROUND(I55/Budget!$B$5,0)</f>
        <v>32</v>
      </c>
      <c r="K55" s="4" t="s">
        <v>667</v>
      </c>
      <c r="L55" s="4" t="s">
        <v>668</v>
      </c>
      <c r="M55" s="4" t="s">
        <v>669</v>
      </c>
      <c r="N55" s="4" t="s">
        <v>670</v>
      </c>
      <c r="O55" s="4" t="s">
        <v>671</v>
      </c>
      <c r="P55" s="4" t="s">
        <v>672</v>
      </c>
      <c r="Q55" s="4" t="s">
        <v>40</v>
      </c>
      <c r="R55" s="4" t="s">
        <v>41</v>
      </c>
      <c r="S55" s="4" t="s">
        <v>673</v>
      </c>
      <c r="T55" s="4" t="s">
        <v>674</v>
      </c>
      <c r="U55" s="4" t="s">
        <v>44</v>
      </c>
    </row>
    <row r="56" customFormat="false" ht="150" hidden="false" customHeight="true" outlineLevel="0" collapsed="false">
      <c r="A56" s="4" t="n">
        <v>55</v>
      </c>
      <c r="B56" s="4" t="n">
        <v>19</v>
      </c>
      <c r="C56" s="5" t="n">
        <f aca="false">Budget!$B$4+B56-1</f>
        <v>46314</v>
      </c>
      <c r="D56" s="4" t="s">
        <v>29</v>
      </c>
      <c r="E56" s="4" t="s">
        <v>675</v>
      </c>
      <c r="F56" s="4" t="s">
        <v>31</v>
      </c>
      <c r="G56" s="4" t="s">
        <v>676</v>
      </c>
      <c r="H56" s="4" t="s">
        <v>677</v>
      </c>
      <c r="I56" s="4" t="n">
        <f aca="false">LEN(H56)</f>
        <v>528</v>
      </c>
      <c r="J56" s="4" t="n">
        <f aca="false">ROUND(I56/Budget!$B$5,0)</f>
        <v>35</v>
      </c>
      <c r="K56" s="4" t="s">
        <v>678</v>
      </c>
      <c r="L56" s="4" t="s">
        <v>679</v>
      </c>
      <c r="M56" s="4" t="s">
        <v>680</v>
      </c>
      <c r="N56" s="4" t="s">
        <v>681</v>
      </c>
      <c r="O56" s="4" t="s">
        <v>682</v>
      </c>
      <c r="P56" s="4" t="s">
        <v>683</v>
      </c>
      <c r="Q56" s="4" t="s">
        <v>684</v>
      </c>
      <c r="R56" s="4" t="s">
        <v>57</v>
      </c>
      <c r="S56" s="4" t="s">
        <v>685</v>
      </c>
      <c r="T56" s="4" t="s">
        <v>686</v>
      </c>
      <c r="U56" s="4" t="s">
        <v>44</v>
      </c>
    </row>
    <row r="57" customFormat="false" ht="150" hidden="false" customHeight="true" outlineLevel="0" collapsed="false">
      <c r="A57" s="4" t="n">
        <v>56</v>
      </c>
      <c r="B57" s="4" t="n">
        <v>19</v>
      </c>
      <c r="C57" s="5" t="n">
        <f aca="false">Budget!$B$4+B57-1</f>
        <v>46314</v>
      </c>
      <c r="D57" s="4" t="s">
        <v>45</v>
      </c>
      <c r="E57" s="4" t="s">
        <v>687</v>
      </c>
      <c r="F57" s="4" t="s">
        <v>47</v>
      </c>
      <c r="G57" s="4" t="s">
        <v>688</v>
      </c>
      <c r="H57" s="4" t="s">
        <v>689</v>
      </c>
      <c r="I57" s="4" t="n">
        <f aca="false">LEN(H57)</f>
        <v>515</v>
      </c>
      <c r="J57" s="4" t="n">
        <f aca="false">ROUND(I57/Budget!$B$5,0)</f>
        <v>34</v>
      </c>
      <c r="K57" s="4" t="s">
        <v>690</v>
      </c>
      <c r="L57" s="4" t="s">
        <v>691</v>
      </c>
      <c r="M57" s="4" t="s">
        <v>692</v>
      </c>
      <c r="N57" s="4" t="s">
        <v>693</v>
      </c>
      <c r="O57" s="4" t="s">
        <v>694</v>
      </c>
      <c r="P57" s="4" t="s">
        <v>695</v>
      </c>
      <c r="Q57" s="4" t="s">
        <v>696</v>
      </c>
      <c r="R57" s="4" t="s">
        <v>57</v>
      </c>
      <c r="S57" s="4" t="s">
        <v>697</v>
      </c>
      <c r="T57" s="4" t="s">
        <v>698</v>
      </c>
      <c r="U57" s="4" t="s">
        <v>44</v>
      </c>
    </row>
    <row r="58" customFormat="false" ht="150" hidden="false" customHeight="true" outlineLevel="0" collapsed="false">
      <c r="A58" s="4" t="n">
        <v>57</v>
      </c>
      <c r="B58" s="4" t="n">
        <v>19</v>
      </c>
      <c r="C58" s="5" t="n">
        <f aca="false">Budget!$B$4+B58-1</f>
        <v>46314</v>
      </c>
      <c r="D58" s="4" t="s">
        <v>60</v>
      </c>
      <c r="E58" s="4" t="s">
        <v>699</v>
      </c>
      <c r="F58" s="4" t="s">
        <v>62</v>
      </c>
      <c r="G58" s="4" t="s">
        <v>700</v>
      </c>
      <c r="H58" s="4" t="s">
        <v>701</v>
      </c>
      <c r="I58" s="4" t="n">
        <f aca="false">LEN(H58)</f>
        <v>473</v>
      </c>
      <c r="J58" s="4" t="n">
        <f aca="false">ROUND(I58/Budget!$B$5,0)</f>
        <v>32</v>
      </c>
      <c r="K58" s="4" t="s">
        <v>702</v>
      </c>
      <c r="L58" s="4" t="s">
        <v>703</v>
      </c>
      <c r="M58" s="4" t="s">
        <v>704</v>
      </c>
      <c r="N58" s="4" t="s">
        <v>705</v>
      </c>
      <c r="O58" s="4" t="s">
        <v>706</v>
      </c>
      <c r="P58" s="4" t="s">
        <v>707</v>
      </c>
      <c r="Q58" s="4" t="s">
        <v>708</v>
      </c>
      <c r="R58" s="4" t="s">
        <v>72</v>
      </c>
      <c r="S58" s="4" t="s">
        <v>709</v>
      </c>
      <c r="T58" s="4" t="s">
        <v>710</v>
      </c>
      <c r="U58" s="4" t="s">
        <v>44</v>
      </c>
    </row>
    <row r="59" customFormat="false" ht="150" hidden="false" customHeight="true" outlineLevel="0" collapsed="false">
      <c r="A59" s="4" t="n">
        <v>58</v>
      </c>
      <c r="B59" s="4" t="n">
        <v>20</v>
      </c>
      <c r="C59" s="5" t="n">
        <f aca="false">Budget!$B$4+B59-1</f>
        <v>46315</v>
      </c>
      <c r="D59" s="4" t="s">
        <v>29</v>
      </c>
      <c r="E59" s="4" t="s">
        <v>711</v>
      </c>
      <c r="F59" s="4" t="s">
        <v>76</v>
      </c>
      <c r="G59" s="4" t="s">
        <v>712</v>
      </c>
      <c r="H59" s="4" t="s">
        <v>713</v>
      </c>
      <c r="I59" s="4" t="n">
        <f aca="false">LEN(H59)</f>
        <v>501</v>
      </c>
      <c r="J59" s="4" t="n">
        <f aca="false">ROUND(I59/Budget!$B$5,0)</f>
        <v>33</v>
      </c>
      <c r="K59" s="4" t="s">
        <v>714</v>
      </c>
      <c r="L59" s="4" t="s">
        <v>715</v>
      </c>
      <c r="M59" s="4" t="s">
        <v>716</v>
      </c>
      <c r="N59" s="4" t="s">
        <v>717</v>
      </c>
      <c r="O59" s="4" t="s">
        <v>718</v>
      </c>
      <c r="P59" s="4" t="s">
        <v>719</v>
      </c>
      <c r="Q59" s="4" t="s">
        <v>720</v>
      </c>
      <c r="R59" s="4" t="s">
        <v>100</v>
      </c>
      <c r="S59" s="4" t="s">
        <v>721</v>
      </c>
      <c r="T59" s="4" t="s">
        <v>722</v>
      </c>
      <c r="U59" s="4" t="s">
        <v>44</v>
      </c>
    </row>
    <row r="60" customFormat="false" ht="150" hidden="false" customHeight="true" outlineLevel="0" collapsed="false">
      <c r="A60" s="4" t="n">
        <v>59</v>
      </c>
      <c r="B60" s="4" t="n">
        <v>20</v>
      </c>
      <c r="C60" s="5" t="n">
        <f aca="false">Budget!$B$4+B60-1</f>
        <v>46315</v>
      </c>
      <c r="D60" s="4" t="s">
        <v>45</v>
      </c>
      <c r="E60" s="4" t="s">
        <v>723</v>
      </c>
      <c r="F60" s="4" t="s">
        <v>90</v>
      </c>
      <c r="G60" s="4" t="s">
        <v>724</v>
      </c>
      <c r="H60" s="4" t="s">
        <v>725</v>
      </c>
      <c r="I60" s="4" t="n">
        <f aca="false">LEN(H60)</f>
        <v>492</v>
      </c>
      <c r="J60" s="4" t="n">
        <f aca="false">ROUND(I60/Budget!$B$5,0)</f>
        <v>33</v>
      </c>
      <c r="K60" s="4" t="s">
        <v>726</v>
      </c>
      <c r="L60" s="4" t="s">
        <v>727</v>
      </c>
      <c r="M60" s="4" t="s">
        <v>728</v>
      </c>
      <c r="N60" s="4" t="s">
        <v>729</v>
      </c>
      <c r="O60" s="4" t="s">
        <v>730</v>
      </c>
      <c r="P60" s="4" t="s">
        <v>731</v>
      </c>
      <c r="Q60" s="4" t="s">
        <v>732</v>
      </c>
      <c r="R60" s="4" t="s">
        <v>100</v>
      </c>
      <c r="S60" s="4" t="s">
        <v>733</v>
      </c>
      <c r="T60" s="4" t="s">
        <v>734</v>
      </c>
      <c r="U60" s="4" t="s">
        <v>44</v>
      </c>
    </row>
    <row r="61" customFormat="false" ht="150" hidden="false" customHeight="true" outlineLevel="0" collapsed="false">
      <c r="A61" s="4" t="n">
        <v>60</v>
      </c>
      <c r="B61" s="4" t="n">
        <v>20</v>
      </c>
      <c r="C61" s="5" t="n">
        <f aca="false">Budget!$B$4+B61-1</f>
        <v>46315</v>
      </c>
      <c r="D61" s="4" t="s">
        <v>60</v>
      </c>
      <c r="E61" s="4" t="s">
        <v>735</v>
      </c>
      <c r="F61" s="4" t="s">
        <v>104</v>
      </c>
      <c r="G61" s="4" t="s">
        <v>736</v>
      </c>
      <c r="H61" s="4" t="s">
        <v>737</v>
      </c>
      <c r="I61" s="4" t="n">
        <f aca="false">LEN(H61)</f>
        <v>498</v>
      </c>
      <c r="J61" s="4" t="n">
        <f aca="false">ROUND(I61/Budget!$B$5,0)</f>
        <v>33</v>
      </c>
      <c r="K61" s="4" t="s">
        <v>738</v>
      </c>
      <c r="L61" s="4" t="s">
        <v>739</v>
      </c>
      <c r="M61" s="4" t="s">
        <v>740</v>
      </c>
      <c r="N61" s="4" t="s">
        <v>741</v>
      </c>
      <c r="O61" s="4" t="s">
        <v>742</v>
      </c>
      <c r="P61" s="4" t="s">
        <v>743</v>
      </c>
      <c r="Q61" s="4" t="s">
        <v>490</v>
      </c>
      <c r="R61" s="4" t="s">
        <v>86</v>
      </c>
      <c r="S61" s="4" t="s">
        <v>744</v>
      </c>
      <c r="T61" s="4" t="s">
        <v>745</v>
      </c>
      <c r="U61" s="4" t="s">
        <v>44</v>
      </c>
    </row>
    <row r="62" customFormat="false" ht="150" hidden="false" customHeight="true" outlineLevel="0" collapsed="false">
      <c r="A62" s="4" t="n">
        <v>61</v>
      </c>
      <c r="B62" s="4" t="n">
        <v>21</v>
      </c>
      <c r="C62" s="5" t="n">
        <f aca="false">Budget!$B$4+B62-1</f>
        <v>46316</v>
      </c>
      <c r="D62" s="4" t="s">
        <v>29</v>
      </c>
      <c r="E62" s="4" t="s">
        <v>746</v>
      </c>
      <c r="F62" s="4" t="s">
        <v>31</v>
      </c>
      <c r="G62" s="4" t="s">
        <v>747</v>
      </c>
      <c r="H62" s="4" t="s">
        <v>748</v>
      </c>
      <c r="I62" s="4" t="n">
        <f aca="false">LEN(H62)</f>
        <v>538</v>
      </c>
      <c r="J62" s="4" t="n">
        <f aca="false">ROUND(I62/Budget!$B$5,0)</f>
        <v>36</v>
      </c>
      <c r="K62" s="4" t="s">
        <v>749</v>
      </c>
      <c r="L62" s="4" t="s">
        <v>750</v>
      </c>
      <c r="M62" s="4" t="s">
        <v>751</v>
      </c>
      <c r="N62" s="4" t="s">
        <v>752</v>
      </c>
      <c r="O62" s="4" t="s">
        <v>753</v>
      </c>
      <c r="P62" s="4" t="s">
        <v>754</v>
      </c>
      <c r="Q62" s="4" t="s">
        <v>56</v>
      </c>
      <c r="R62" s="4" t="s">
        <v>57</v>
      </c>
      <c r="S62" s="4" t="s">
        <v>755</v>
      </c>
      <c r="T62" s="4" t="s">
        <v>756</v>
      </c>
      <c r="U62" s="4" t="s">
        <v>44</v>
      </c>
    </row>
    <row r="63" customFormat="false" ht="150" hidden="false" customHeight="true" outlineLevel="0" collapsed="false">
      <c r="A63" s="4" t="n">
        <v>62</v>
      </c>
      <c r="B63" s="4" t="n">
        <v>21</v>
      </c>
      <c r="C63" s="5" t="n">
        <f aca="false">Budget!$B$4+B63-1</f>
        <v>46316</v>
      </c>
      <c r="D63" s="4" t="s">
        <v>45</v>
      </c>
      <c r="E63" s="4" t="s">
        <v>757</v>
      </c>
      <c r="F63" s="4" t="s">
        <v>47</v>
      </c>
      <c r="G63" s="4" t="s">
        <v>758</v>
      </c>
      <c r="H63" s="4" t="s">
        <v>759</v>
      </c>
      <c r="I63" s="4" t="n">
        <f aca="false">LEN(H63)</f>
        <v>437</v>
      </c>
      <c r="J63" s="4" t="n">
        <f aca="false">ROUND(I63/Budget!$B$5,0)</f>
        <v>29</v>
      </c>
      <c r="K63" s="4" t="s">
        <v>760</v>
      </c>
      <c r="L63" s="4" t="s">
        <v>761</v>
      </c>
      <c r="M63" s="4" t="s">
        <v>762</v>
      </c>
      <c r="N63" s="4" t="s">
        <v>763</v>
      </c>
      <c r="O63" s="4" t="s">
        <v>764</v>
      </c>
      <c r="P63" s="4" t="s">
        <v>765</v>
      </c>
      <c r="Q63" s="4" t="s">
        <v>56</v>
      </c>
      <c r="R63" s="4" t="s">
        <v>57</v>
      </c>
      <c r="S63" s="4" t="s">
        <v>766</v>
      </c>
      <c r="T63" s="4" t="s">
        <v>767</v>
      </c>
      <c r="U63" s="4" t="s">
        <v>44</v>
      </c>
    </row>
    <row r="64" customFormat="false" ht="150" hidden="false" customHeight="true" outlineLevel="0" collapsed="false">
      <c r="A64" s="4" t="n">
        <v>63</v>
      </c>
      <c r="B64" s="4" t="n">
        <v>21</v>
      </c>
      <c r="C64" s="5" t="n">
        <f aca="false">Budget!$B$4+B64-1</f>
        <v>46316</v>
      </c>
      <c r="D64" s="4" t="s">
        <v>60</v>
      </c>
      <c r="E64" s="4" t="s">
        <v>768</v>
      </c>
      <c r="F64" s="4" t="s">
        <v>62</v>
      </c>
      <c r="G64" s="4" t="s">
        <v>769</v>
      </c>
      <c r="H64" s="4" t="s">
        <v>770</v>
      </c>
      <c r="I64" s="4" t="n">
        <f aca="false">LEN(H64)</f>
        <v>508</v>
      </c>
      <c r="J64" s="4" t="n">
        <f aca="false">ROUND(I64/Budget!$B$5,0)</f>
        <v>34</v>
      </c>
      <c r="K64" s="4" t="s">
        <v>771</v>
      </c>
      <c r="L64" s="4" t="s">
        <v>772</v>
      </c>
      <c r="M64" s="4" t="s">
        <v>773</v>
      </c>
      <c r="N64" s="4" t="s">
        <v>774</v>
      </c>
      <c r="O64" s="4" t="s">
        <v>775</v>
      </c>
      <c r="P64" s="4" t="s">
        <v>776</v>
      </c>
      <c r="Q64" s="4" t="s">
        <v>777</v>
      </c>
      <c r="R64" s="4" t="s">
        <v>41</v>
      </c>
      <c r="S64" s="4" t="s">
        <v>778</v>
      </c>
      <c r="T64" s="4" t="s">
        <v>779</v>
      </c>
      <c r="U64" s="4" t="s">
        <v>44</v>
      </c>
    </row>
    <row r="65" customFormat="false" ht="150" hidden="false" customHeight="true" outlineLevel="0" collapsed="false">
      <c r="A65" s="4" t="n">
        <v>64</v>
      </c>
      <c r="B65" s="4" t="n">
        <v>22</v>
      </c>
      <c r="C65" s="5" t="n">
        <f aca="false">Budget!$B$4+B65-1</f>
        <v>46317</v>
      </c>
      <c r="D65" s="4" t="s">
        <v>29</v>
      </c>
      <c r="E65" s="4" t="s">
        <v>780</v>
      </c>
      <c r="F65" s="4" t="s">
        <v>76</v>
      </c>
      <c r="G65" s="4" t="s">
        <v>781</v>
      </c>
      <c r="H65" s="4" t="s">
        <v>782</v>
      </c>
      <c r="I65" s="4" t="n">
        <f aca="false">LEN(H65)</f>
        <v>466</v>
      </c>
      <c r="J65" s="4" t="n">
        <f aca="false">ROUND(I65/Budget!$B$5,0)</f>
        <v>31</v>
      </c>
      <c r="K65" s="4" t="s">
        <v>783</v>
      </c>
      <c r="L65" s="4" t="s">
        <v>784</v>
      </c>
      <c r="M65" s="4" t="s">
        <v>785</v>
      </c>
      <c r="N65" s="4" t="s">
        <v>786</v>
      </c>
      <c r="O65" s="4" t="s">
        <v>787</v>
      </c>
      <c r="P65" s="4" t="s">
        <v>788</v>
      </c>
      <c r="Q65" s="4" t="s">
        <v>490</v>
      </c>
      <c r="R65" s="4" t="s">
        <v>114</v>
      </c>
      <c r="S65" s="4" t="s">
        <v>789</v>
      </c>
      <c r="T65" s="4" t="s">
        <v>790</v>
      </c>
      <c r="U65" s="4" t="s">
        <v>44</v>
      </c>
    </row>
    <row r="66" customFormat="false" ht="150" hidden="false" customHeight="true" outlineLevel="0" collapsed="false">
      <c r="A66" s="4" t="n">
        <v>65</v>
      </c>
      <c r="B66" s="4" t="n">
        <v>22</v>
      </c>
      <c r="C66" s="5" t="n">
        <f aca="false">Budget!$B$4+B66-1</f>
        <v>46317</v>
      </c>
      <c r="D66" s="4" t="s">
        <v>45</v>
      </c>
      <c r="E66" s="4" t="s">
        <v>791</v>
      </c>
      <c r="F66" s="4" t="s">
        <v>90</v>
      </c>
      <c r="G66" s="4" t="s">
        <v>792</v>
      </c>
      <c r="H66" s="4" t="s">
        <v>793</v>
      </c>
      <c r="I66" s="4" t="n">
        <f aca="false">LEN(H66)</f>
        <v>527</v>
      </c>
      <c r="J66" s="4" t="n">
        <f aca="false">ROUND(I66/Budget!$B$5,0)</f>
        <v>35</v>
      </c>
      <c r="K66" s="4" t="s">
        <v>794</v>
      </c>
      <c r="L66" s="4" t="s">
        <v>795</v>
      </c>
      <c r="M66" s="4" t="s">
        <v>796</v>
      </c>
      <c r="N66" s="4" t="s">
        <v>797</v>
      </c>
      <c r="O66" s="4" t="s">
        <v>798</v>
      </c>
      <c r="P66" s="4" t="s">
        <v>799</v>
      </c>
      <c r="Q66" s="4" t="s">
        <v>800</v>
      </c>
      <c r="R66" s="4" t="s">
        <v>72</v>
      </c>
      <c r="S66" s="4" t="s">
        <v>801</v>
      </c>
      <c r="T66" s="4" t="s">
        <v>802</v>
      </c>
      <c r="U66" s="4" t="s">
        <v>44</v>
      </c>
    </row>
    <row r="67" customFormat="false" ht="150" hidden="false" customHeight="true" outlineLevel="0" collapsed="false">
      <c r="A67" s="4" t="n">
        <v>66</v>
      </c>
      <c r="B67" s="4" t="n">
        <v>22</v>
      </c>
      <c r="C67" s="5" t="n">
        <f aca="false">Budget!$B$4+B67-1</f>
        <v>46317</v>
      </c>
      <c r="D67" s="4" t="s">
        <v>60</v>
      </c>
      <c r="E67" s="4" t="s">
        <v>803</v>
      </c>
      <c r="F67" s="4" t="s">
        <v>104</v>
      </c>
      <c r="G67" s="4" t="s">
        <v>804</v>
      </c>
      <c r="H67" s="4" t="s">
        <v>805</v>
      </c>
      <c r="I67" s="4" t="n">
        <f aca="false">LEN(H67)</f>
        <v>499</v>
      </c>
      <c r="J67" s="4" t="n">
        <f aca="false">ROUND(I67/Budget!$B$5,0)</f>
        <v>33</v>
      </c>
      <c r="K67" s="4" t="s">
        <v>806</v>
      </c>
      <c r="L67" s="4" t="s">
        <v>807</v>
      </c>
      <c r="M67" s="4" t="s">
        <v>808</v>
      </c>
      <c r="N67" s="4" t="s">
        <v>809</v>
      </c>
      <c r="O67" s="4" t="s">
        <v>810</v>
      </c>
      <c r="P67" s="4" t="s">
        <v>811</v>
      </c>
      <c r="Q67" s="4" t="s">
        <v>812</v>
      </c>
      <c r="R67" s="4" t="s">
        <v>114</v>
      </c>
      <c r="S67" s="4" t="s">
        <v>813</v>
      </c>
      <c r="T67" s="4" t="s">
        <v>814</v>
      </c>
      <c r="U67" s="4" t="s">
        <v>44</v>
      </c>
    </row>
    <row r="68" customFormat="false" ht="150" hidden="false" customHeight="true" outlineLevel="0" collapsed="false">
      <c r="A68" s="4" t="n">
        <v>67</v>
      </c>
      <c r="B68" s="4" t="n">
        <v>23</v>
      </c>
      <c r="C68" s="5" t="n">
        <f aca="false">Budget!$B$4+B68-1</f>
        <v>46318</v>
      </c>
      <c r="D68" s="4" t="s">
        <v>29</v>
      </c>
      <c r="E68" s="4" t="s">
        <v>815</v>
      </c>
      <c r="F68" s="4" t="s">
        <v>31</v>
      </c>
      <c r="G68" s="4" t="s">
        <v>816</v>
      </c>
      <c r="H68" s="4" t="s">
        <v>817</v>
      </c>
      <c r="I68" s="4" t="n">
        <f aca="false">LEN(H68)</f>
        <v>479</v>
      </c>
      <c r="J68" s="4" t="n">
        <f aca="false">ROUND(I68/Budget!$B$5,0)</f>
        <v>32</v>
      </c>
      <c r="K68" s="4" t="s">
        <v>818</v>
      </c>
      <c r="L68" s="4" t="s">
        <v>819</v>
      </c>
      <c r="M68" s="4" t="s">
        <v>820</v>
      </c>
      <c r="N68" s="4" t="s">
        <v>821</v>
      </c>
      <c r="O68" s="4" t="s">
        <v>822</v>
      </c>
      <c r="P68" s="4" t="s">
        <v>823</v>
      </c>
      <c r="Q68" s="4" t="s">
        <v>85</v>
      </c>
      <c r="R68" s="4" t="s">
        <v>57</v>
      </c>
      <c r="S68" s="4" t="s">
        <v>824</v>
      </c>
      <c r="T68" s="4" t="s">
        <v>825</v>
      </c>
      <c r="U68" s="4" t="s">
        <v>44</v>
      </c>
    </row>
    <row r="69" customFormat="false" ht="150" hidden="false" customHeight="true" outlineLevel="0" collapsed="false">
      <c r="A69" s="4" t="n">
        <v>68</v>
      </c>
      <c r="B69" s="4" t="n">
        <v>23</v>
      </c>
      <c r="C69" s="5" t="n">
        <f aca="false">Budget!$B$4+B69-1</f>
        <v>46318</v>
      </c>
      <c r="D69" s="4" t="s">
        <v>45</v>
      </c>
      <c r="E69" s="4" t="s">
        <v>826</v>
      </c>
      <c r="F69" s="4" t="s">
        <v>47</v>
      </c>
      <c r="G69" s="4" t="s">
        <v>827</v>
      </c>
      <c r="H69" s="4" t="s">
        <v>828</v>
      </c>
      <c r="I69" s="4" t="n">
        <f aca="false">LEN(H69)</f>
        <v>494</v>
      </c>
      <c r="J69" s="4" t="n">
        <f aca="false">ROUND(I69/Budget!$B$5,0)</f>
        <v>33</v>
      </c>
      <c r="K69" s="4" t="s">
        <v>829</v>
      </c>
      <c r="L69" s="4" t="s">
        <v>830</v>
      </c>
      <c r="M69" s="4" t="s">
        <v>831</v>
      </c>
      <c r="N69" s="4" t="s">
        <v>832</v>
      </c>
      <c r="O69" s="4" t="s">
        <v>833</v>
      </c>
      <c r="P69" s="4" t="s">
        <v>834</v>
      </c>
      <c r="Q69" s="4" t="s">
        <v>835</v>
      </c>
      <c r="R69" s="4" t="s">
        <v>41</v>
      </c>
      <c r="S69" s="4" t="s">
        <v>836</v>
      </c>
      <c r="T69" s="4" t="s">
        <v>837</v>
      </c>
      <c r="U69" s="4" t="s">
        <v>44</v>
      </c>
    </row>
    <row r="70" customFormat="false" ht="150" hidden="false" customHeight="true" outlineLevel="0" collapsed="false">
      <c r="A70" s="4" t="n">
        <v>69</v>
      </c>
      <c r="B70" s="4" t="n">
        <v>23</v>
      </c>
      <c r="C70" s="5" t="n">
        <f aca="false">Budget!$B$4+B70-1</f>
        <v>46318</v>
      </c>
      <c r="D70" s="4" t="s">
        <v>60</v>
      </c>
      <c r="E70" s="4" t="s">
        <v>838</v>
      </c>
      <c r="F70" s="4" t="s">
        <v>62</v>
      </c>
      <c r="G70" s="4" t="s">
        <v>839</v>
      </c>
      <c r="H70" s="4" t="s">
        <v>840</v>
      </c>
      <c r="I70" s="4" t="n">
        <f aca="false">LEN(H70)</f>
        <v>513</v>
      </c>
      <c r="J70" s="4" t="n">
        <f aca="false">ROUND(I70/Budget!$B$5,0)</f>
        <v>34</v>
      </c>
      <c r="K70" s="4" t="s">
        <v>841</v>
      </c>
      <c r="L70" s="4" t="s">
        <v>842</v>
      </c>
      <c r="M70" s="4" t="s">
        <v>843</v>
      </c>
      <c r="N70" s="4" t="s">
        <v>844</v>
      </c>
      <c r="O70" s="4" t="s">
        <v>845</v>
      </c>
      <c r="P70" s="4" t="s">
        <v>846</v>
      </c>
      <c r="Q70" s="4" t="s">
        <v>847</v>
      </c>
      <c r="R70" s="4" t="s">
        <v>86</v>
      </c>
      <c r="S70" s="4" t="s">
        <v>848</v>
      </c>
      <c r="T70" s="4" t="s">
        <v>849</v>
      </c>
      <c r="U70" s="4" t="s">
        <v>44</v>
      </c>
    </row>
    <row r="71" customFormat="false" ht="150" hidden="false" customHeight="true" outlineLevel="0" collapsed="false">
      <c r="A71" s="4" t="n">
        <v>70</v>
      </c>
      <c r="B71" s="4" t="n">
        <v>24</v>
      </c>
      <c r="C71" s="5" t="n">
        <f aca="false">Budget!$B$4+B71-1</f>
        <v>46319</v>
      </c>
      <c r="D71" s="4" t="s">
        <v>29</v>
      </c>
      <c r="E71" s="4" t="s">
        <v>850</v>
      </c>
      <c r="F71" s="4" t="s">
        <v>76</v>
      </c>
      <c r="G71" s="4" t="s">
        <v>851</v>
      </c>
      <c r="H71" s="4" t="s">
        <v>852</v>
      </c>
      <c r="I71" s="4" t="n">
        <f aca="false">LEN(H71)</f>
        <v>497</v>
      </c>
      <c r="J71" s="4" t="n">
        <f aca="false">ROUND(I71/Budget!$B$5,0)</f>
        <v>33</v>
      </c>
      <c r="K71" s="4" t="s">
        <v>853</v>
      </c>
      <c r="L71" s="4" t="s">
        <v>854</v>
      </c>
      <c r="M71" s="4" t="s">
        <v>855</v>
      </c>
      <c r="N71" s="4" t="s">
        <v>856</v>
      </c>
      <c r="O71" s="4" t="s">
        <v>857</v>
      </c>
      <c r="P71" s="4" t="s">
        <v>858</v>
      </c>
      <c r="Q71" s="4" t="s">
        <v>859</v>
      </c>
      <c r="R71" s="4" t="s">
        <v>114</v>
      </c>
      <c r="S71" s="4" t="s">
        <v>860</v>
      </c>
      <c r="T71" s="4" t="s">
        <v>861</v>
      </c>
      <c r="U71" s="4" t="s">
        <v>44</v>
      </c>
    </row>
    <row r="72" customFormat="false" ht="150" hidden="false" customHeight="true" outlineLevel="0" collapsed="false">
      <c r="A72" s="4" t="n">
        <v>71</v>
      </c>
      <c r="B72" s="4" t="n">
        <v>24</v>
      </c>
      <c r="C72" s="5" t="n">
        <f aca="false">Budget!$B$4+B72-1</f>
        <v>46319</v>
      </c>
      <c r="D72" s="4" t="s">
        <v>45</v>
      </c>
      <c r="E72" s="4" t="s">
        <v>862</v>
      </c>
      <c r="F72" s="4" t="s">
        <v>90</v>
      </c>
      <c r="G72" s="4" t="s">
        <v>863</v>
      </c>
      <c r="H72" s="4" t="s">
        <v>864</v>
      </c>
      <c r="I72" s="4" t="n">
        <f aca="false">LEN(H72)</f>
        <v>470</v>
      </c>
      <c r="J72" s="4" t="n">
        <f aca="false">ROUND(I72/Budget!$B$5,0)</f>
        <v>31</v>
      </c>
      <c r="K72" s="4" t="s">
        <v>865</v>
      </c>
      <c r="L72" s="4" t="s">
        <v>866</v>
      </c>
      <c r="M72" s="4" t="s">
        <v>867</v>
      </c>
      <c r="N72" s="4" t="s">
        <v>868</v>
      </c>
      <c r="O72" s="4" t="s">
        <v>869</v>
      </c>
      <c r="P72" s="4" t="s">
        <v>870</v>
      </c>
      <c r="Q72" s="4" t="s">
        <v>113</v>
      </c>
      <c r="R72" s="4" t="s">
        <v>86</v>
      </c>
      <c r="S72" s="4" t="s">
        <v>871</v>
      </c>
      <c r="T72" s="4" t="s">
        <v>872</v>
      </c>
      <c r="U72" s="4" t="s">
        <v>44</v>
      </c>
    </row>
    <row r="73" customFormat="false" ht="150" hidden="false" customHeight="true" outlineLevel="0" collapsed="false">
      <c r="A73" s="4" t="n">
        <v>72</v>
      </c>
      <c r="B73" s="4" t="n">
        <v>24</v>
      </c>
      <c r="C73" s="5" t="n">
        <f aca="false">Budget!$B$4+B73-1</f>
        <v>46319</v>
      </c>
      <c r="D73" s="4" t="s">
        <v>60</v>
      </c>
      <c r="E73" s="4" t="s">
        <v>873</v>
      </c>
      <c r="F73" s="4" t="s">
        <v>104</v>
      </c>
      <c r="G73" s="4" t="s">
        <v>874</v>
      </c>
      <c r="H73" s="4" t="s">
        <v>875</v>
      </c>
      <c r="I73" s="4" t="n">
        <f aca="false">LEN(H73)</f>
        <v>465</v>
      </c>
      <c r="J73" s="4" t="n">
        <f aca="false">ROUND(I73/Budget!$B$5,0)</f>
        <v>31</v>
      </c>
      <c r="K73" s="4" t="s">
        <v>876</v>
      </c>
      <c r="L73" s="4" t="s">
        <v>877</v>
      </c>
      <c r="M73" s="4" t="s">
        <v>878</v>
      </c>
      <c r="N73" s="4" t="s">
        <v>879</v>
      </c>
      <c r="O73" s="4" t="s">
        <v>880</v>
      </c>
      <c r="P73" s="4" t="s">
        <v>881</v>
      </c>
      <c r="Q73" s="4" t="s">
        <v>882</v>
      </c>
      <c r="R73" s="4" t="s">
        <v>86</v>
      </c>
      <c r="S73" s="4" t="s">
        <v>883</v>
      </c>
      <c r="T73" s="4" t="s">
        <v>884</v>
      </c>
      <c r="U73" s="4" t="s">
        <v>44</v>
      </c>
    </row>
    <row r="74" customFormat="false" ht="150" hidden="false" customHeight="true" outlineLevel="0" collapsed="false">
      <c r="A74" s="4" t="n">
        <v>73</v>
      </c>
      <c r="B74" s="4" t="n">
        <v>25</v>
      </c>
      <c r="C74" s="5" t="n">
        <f aca="false">Budget!$B$4+B74-1</f>
        <v>46320</v>
      </c>
      <c r="D74" s="4" t="s">
        <v>29</v>
      </c>
      <c r="E74" s="4" t="s">
        <v>885</v>
      </c>
      <c r="F74" s="4" t="s">
        <v>31</v>
      </c>
      <c r="G74" s="4" t="s">
        <v>886</v>
      </c>
      <c r="H74" s="4" t="s">
        <v>887</v>
      </c>
      <c r="I74" s="4" t="n">
        <f aca="false">LEN(H74)</f>
        <v>518</v>
      </c>
      <c r="J74" s="4" t="n">
        <f aca="false">ROUND(I74/Budget!$B$5,0)</f>
        <v>35</v>
      </c>
      <c r="K74" s="4" t="s">
        <v>888</v>
      </c>
      <c r="L74" s="4" t="s">
        <v>889</v>
      </c>
      <c r="M74" s="4" t="s">
        <v>890</v>
      </c>
      <c r="N74" s="4" t="s">
        <v>891</v>
      </c>
      <c r="O74" s="4" t="s">
        <v>892</v>
      </c>
      <c r="P74" s="4" t="s">
        <v>893</v>
      </c>
      <c r="Q74" s="4" t="s">
        <v>894</v>
      </c>
      <c r="R74" s="4" t="s">
        <v>72</v>
      </c>
      <c r="S74" s="4" t="s">
        <v>895</v>
      </c>
      <c r="T74" s="4" t="s">
        <v>896</v>
      </c>
      <c r="U74" s="4" t="s">
        <v>44</v>
      </c>
    </row>
    <row r="75" customFormat="false" ht="150" hidden="false" customHeight="true" outlineLevel="0" collapsed="false">
      <c r="A75" s="4" t="n">
        <v>74</v>
      </c>
      <c r="B75" s="4" t="n">
        <v>25</v>
      </c>
      <c r="C75" s="5" t="n">
        <f aca="false">Budget!$B$4+B75-1</f>
        <v>46320</v>
      </c>
      <c r="D75" s="4" t="s">
        <v>45</v>
      </c>
      <c r="E75" s="4" t="s">
        <v>897</v>
      </c>
      <c r="F75" s="4" t="s">
        <v>47</v>
      </c>
      <c r="G75" s="4" t="s">
        <v>898</v>
      </c>
      <c r="H75" s="4" t="s">
        <v>899</v>
      </c>
      <c r="I75" s="4" t="n">
        <f aca="false">LEN(H75)</f>
        <v>486</v>
      </c>
      <c r="J75" s="4" t="n">
        <f aca="false">ROUND(I75/Budget!$B$5,0)</f>
        <v>32</v>
      </c>
      <c r="K75" s="4" t="s">
        <v>900</v>
      </c>
      <c r="L75" s="4" t="s">
        <v>901</v>
      </c>
      <c r="M75" s="4" t="s">
        <v>902</v>
      </c>
      <c r="N75" s="4" t="s">
        <v>903</v>
      </c>
      <c r="O75" s="4" t="s">
        <v>904</v>
      </c>
      <c r="P75" s="4" t="s">
        <v>905</v>
      </c>
      <c r="Q75" s="4" t="s">
        <v>160</v>
      </c>
      <c r="R75" s="4" t="s">
        <v>57</v>
      </c>
      <c r="S75" s="4" t="s">
        <v>906</v>
      </c>
      <c r="T75" s="4" t="s">
        <v>907</v>
      </c>
      <c r="U75" s="4" t="s">
        <v>44</v>
      </c>
    </row>
    <row r="76" customFormat="false" ht="150" hidden="false" customHeight="true" outlineLevel="0" collapsed="false">
      <c r="A76" s="4" t="n">
        <v>75</v>
      </c>
      <c r="B76" s="4" t="n">
        <v>25</v>
      </c>
      <c r="C76" s="5" t="n">
        <f aca="false">Budget!$B$4+B76-1</f>
        <v>46320</v>
      </c>
      <c r="D76" s="4" t="s">
        <v>60</v>
      </c>
      <c r="E76" s="4" t="s">
        <v>908</v>
      </c>
      <c r="F76" s="4" t="s">
        <v>62</v>
      </c>
      <c r="G76" s="4" t="s">
        <v>909</v>
      </c>
      <c r="H76" s="4" t="s">
        <v>910</v>
      </c>
      <c r="I76" s="4" t="n">
        <f aca="false">LEN(H76)</f>
        <v>502</v>
      </c>
      <c r="J76" s="4" t="n">
        <f aca="false">ROUND(I76/Budget!$B$5,0)</f>
        <v>33</v>
      </c>
      <c r="K76" s="4" t="s">
        <v>911</v>
      </c>
      <c r="L76" s="4" t="s">
        <v>912</v>
      </c>
      <c r="M76" s="4" t="s">
        <v>913</v>
      </c>
      <c r="N76" s="4" t="s">
        <v>914</v>
      </c>
      <c r="O76" s="4" t="s">
        <v>915</v>
      </c>
      <c r="P76" s="4" t="s">
        <v>916</v>
      </c>
      <c r="Q76" s="4" t="s">
        <v>917</v>
      </c>
      <c r="R76" s="4" t="s">
        <v>114</v>
      </c>
      <c r="S76" s="4" t="s">
        <v>918</v>
      </c>
      <c r="T76" s="4" t="s">
        <v>919</v>
      </c>
      <c r="U76" s="4" t="s">
        <v>44</v>
      </c>
    </row>
    <row r="77" customFormat="false" ht="150" hidden="false" customHeight="true" outlineLevel="0" collapsed="false">
      <c r="A77" s="4" t="n">
        <v>76</v>
      </c>
      <c r="B77" s="4" t="n">
        <v>26</v>
      </c>
      <c r="C77" s="5" t="n">
        <f aca="false">Budget!$B$4+B77-1</f>
        <v>46321</v>
      </c>
      <c r="D77" s="4" t="s">
        <v>29</v>
      </c>
      <c r="E77" s="4" t="s">
        <v>920</v>
      </c>
      <c r="F77" s="4" t="s">
        <v>76</v>
      </c>
      <c r="G77" s="4" t="s">
        <v>921</v>
      </c>
      <c r="H77" s="4" t="s">
        <v>922</v>
      </c>
      <c r="I77" s="4" t="n">
        <f aca="false">LEN(H77)</f>
        <v>498</v>
      </c>
      <c r="J77" s="4" t="n">
        <f aca="false">ROUND(I77/Budget!$B$5,0)</f>
        <v>33</v>
      </c>
      <c r="K77" s="4" t="s">
        <v>923</v>
      </c>
      <c r="L77" s="4" t="s">
        <v>924</v>
      </c>
      <c r="M77" s="4" t="s">
        <v>925</v>
      </c>
      <c r="N77" s="4" t="s">
        <v>389</v>
      </c>
      <c r="O77" s="4" t="s">
        <v>926</v>
      </c>
      <c r="P77" s="4" t="s">
        <v>927</v>
      </c>
      <c r="Q77" s="4" t="s">
        <v>490</v>
      </c>
      <c r="R77" s="4" t="s">
        <v>86</v>
      </c>
      <c r="S77" s="4" t="s">
        <v>928</v>
      </c>
      <c r="T77" s="4" t="s">
        <v>929</v>
      </c>
      <c r="U77" s="4" t="s">
        <v>44</v>
      </c>
    </row>
    <row r="78" customFormat="false" ht="150" hidden="false" customHeight="true" outlineLevel="0" collapsed="false">
      <c r="A78" s="4" t="n">
        <v>77</v>
      </c>
      <c r="B78" s="4" t="n">
        <v>26</v>
      </c>
      <c r="C78" s="5" t="n">
        <f aca="false">Budget!$B$4+B78-1</f>
        <v>46321</v>
      </c>
      <c r="D78" s="4" t="s">
        <v>45</v>
      </c>
      <c r="E78" s="4" t="s">
        <v>930</v>
      </c>
      <c r="F78" s="4" t="s">
        <v>90</v>
      </c>
      <c r="G78" s="4" t="s">
        <v>931</v>
      </c>
      <c r="H78" s="4" t="s">
        <v>932</v>
      </c>
      <c r="I78" s="4" t="n">
        <f aca="false">LEN(H78)</f>
        <v>489</v>
      </c>
      <c r="J78" s="4" t="n">
        <f aca="false">ROUND(I78/Budget!$B$5,0)</f>
        <v>33</v>
      </c>
      <c r="K78" s="4" t="s">
        <v>933</v>
      </c>
      <c r="L78" s="4" t="s">
        <v>934</v>
      </c>
      <c r="M78" s="4" t="s">
        <v>935</v>
      </c>
      <c r="N78" s="4" t="s">
        <v>936</v>
      </c>
      <c r="O78" s="4" t="s">
        <v>937</v>
      </c>
      <c r="P78" s="4" t="s">
        <v>938</v>
      </c>
      <c r="Q78" s="4" t="s">
        <v>661</v>
      </c>
      <c r="R78" s="4" t="s">
        <v>57</v>
      </c>
      <c r="S78" s="4" t="s">
        <v>939</v>
      </c>
      <c r="T78" s="4" t="s">
        <v>940</v>
      </c>
      <c r="U78" s="4" t="s">
        <v>44</v>
      </c>
    </row>
    <row r="79" customFormat="false" ht="150" hidden="false" customHeight="true" outlineLevel="0" collapsed="false">
      <c r="A79" s="4" t="n">
        <v>78</v>
      </c>
      <c r="B79" s="4" t="n">
        <v>26</v>
      </c>
      <c r="C79" s="5" t="n">
        <f aca="false">Budget!$B$4+B79-1</f>
        <v>46321</v>
      </c>
      <c r="D79" s="4" t="s">
        <v>60</v>
      </c>
      <c r="E79" s="4" t="s">
        <v>941</v>
      </c>
      <c r="F79" s="4" t="s">
        <v>104</v>
      </c>
      <c r="G79" s="4" t="s">
        <v>942</v>
      </c>
      <c r="H79" s="4" t="s">
        <v>943</v>
      </c>
      <c r="I79" s="4" t="n">
        <f aca="false">LEN(H79)</f>
        <v>497</v>
      </c>
      <c r="J79" s="4" t="n">
        <f aca="false">ROUND(I79/Budget!$B$5,0)</f>
        <v>33</v>
      </c>
      <c r="K79" s="4" t="s">
        <v>944</v>
      </c>
      <c r="L79" s="4" t="s">
        <v>945</v>
      </c>
      <c r="M79" s="4" t="s">
        <v>946</v>
      </c>
      <c r="N79" s="4" t="s">
        <v>947</v>
      </c>
      <c r="O79" s="4" t="s">
        <v>948</v>
      </c>
      <c r="P79" s="4" t="s">
        <v>949</v>
      </c>
      <c r="Q79" s="4" t="s">
        <v>950</v>
      </c>
      <c r="R79" s="4" t="s">
        <v>57</v>
      </c>
      <c r="S79" s="4" t="s">
        <v>951</v>
      </c>
      <c r="T79" s="4" t="s">
        <v>952</v>
      </c>
      <c r="U79" s="4" t="s">
        <v>44</v>
      </c>
    </row>
    <row r="80" customFormat="false" ht="150" hidden="false" customHeight="true" outlineLevel="0" collapsed="false">
      <c r="A80" s="4" t="n">
        <v>79</v>
      </c>
      <c r="B80" s="4" t="n">
        <v>27</v>
      </c>
      <c r="C80" s="5" t="n">
        <f aca="false">Budget!$B$4+B80-1</f>
        <v>46322</v>
      </c>
      <c r="D80" s="4" t="s">
        <v>29</v>
      </c>
      <c r="E80" s="4" t="s">
        <v>953</v>
      </c>
      <c r="F80" s="4" t="s">
        <v>31</v>
      </c>
      <c r="G80" s="4" t="s">
        <v>954</v>
      </c>
      <c r="H80" s="4" t="s">
        <v>955</v>
      </c>
      <c r="I80" s="4" t="n">
        <f aca="false">LEN(H80)</f>
        <v>498</v>
      </c>
      <c r="J80" s="4" t="n">
        <f aca="false">ROUND(I80/Budget!$B$5,0)</f>
        <v>33</v>
      </c>
      <c r="K80" s="4" t="s">
        <v>956</v>
      </c>
      <c r="L80" s="4" t="s">
        <v>957</v>
      </c>
      <c r="M80" s="4" t="s">
        <v>958</v>
      </c>
      <c r="N80" s="4" t="s">
        <v>959</v>
      </c>
      <c r="O80" s="4" t="s">
        <v>960</v>
      </c>
      <c r="P80" s="4" t="s">
        <v>961</v>
      </c>
      <c r="Q80" s="4" t="s">
        <v>962</v>
      </c>
      <c r="R80" s="4" t="s">
        <v>72</v>
      </c>
      <c r="S80" s="4" t="s">
        <v>963</v>
      </c>
      <c r="T80" s="4" t="s">
        <v>964</v>
      </c>
      <c r="U80" s="4" t="s">
        <v>44</v>
      </c>
    </row>
    <row r="81" customFormat="false" ht="150" hidden="false" customHeight="true" outlineLevel="0" collapsed="false">
      <c r="A81" s="4" t="n">
        <v>80</v>
      </c>
      <c r="B81" s="4" t="n">
        <v>27</v>
      </c>
      <c r="C81" s="5" t="n">
        <f aca="false">Budget!$B$4+B81-1</f>
        <v>46322</v>
      </c>
      <c r="D81" s="4" t="s">
        <v>45</v>
      </c>
      <c r="E81" s="4" t="s">
        <v>965</v>
      </c>
      <c r="F81" s="4" t="s">
        <v>47</v>
      </c>
      <c r="G81" s="4" t="s">
        <v>966</v>
      </c>
      <c r="H81" s="4" t="s">
        <v>967</v>
      </c>
      <c r="I81" s="4" t="n">
        <f aca="false">LEN(H81)</f>
        <v>459</v>
      </c>
      <c r="J81" s="4" t="n">
        <f aca="false">ROUND(I81/Budget!$B$5,0)</f>
        <v>31</v>
      </c>
      <c r="K81" s="4" t="s">
        <v>968</v>
      </c>
      <c r="L81" s="4" t="s">
        <v>969</v>
      </c>
      <c r="M81" s="4" t="s">
        <v>970</v>
      </c>
      <c r="N81" s="4" t="s">
        <v>971</v>
      </c>
      <c r="O81" s="4" t="s">
        <v>972</v>
      </c>
      <c r="P81" s="4" t="s">
        <v>973</v>
      </c>
      <c r="Q81" s="4" t="s">
        <v>490</v>
      </c>
      <c r="R81" s="4" t="s">
        <v>114</v>
      </c>
      <c r="S81" s="4" t="s">
        <v>974</v>
      </c>
      <c r="T81" s="4" t="s">
        <v>975</v>
      </c>
      <c r="U81" s="4" t="s">
        <v>44</v>
      </c>
    </row>
    <row r="82" customFormat="false" ht="150" hidden="false" customHeight="true" outlineLevel="0" collapsed="false">
      <c r="A82" s="4" t="n">
        <v>81</v>
      </c>
      <c r="B82" s="4" t="n">
        <v>27</v>
      </c>
      <c r="C82" s="5" t="n">
        <f aca="false">Budget!$B$4+B82-1</f>
        <v>46322</v>
      </c>
      <c r="D82" s="4" t="s">
        <v>60</v>
      </c>
      <c r="E82" s="4" t="s">
        <v>976</v>
      </c>
      <c r="F82" s="4" t="s">
        <v>62</v>
      </c>
      <c r="G82" s="4" t="s">
        <v>977</v>
      </c>
      <c r="H82" s="4" t="s">
        <v>978</v>
      </c>
      <c r="I82" s="4" t="n">
        <f aca="false">LEN(H82)</f>
        <v>454</v>
      </c>
      <c r="J82" s="4" t="n">
        <f aca="false">ROUND(I82/Budget!$B$5,0)</f>
        <v>30</v>
      </c>
      <c r="K82" s="4" t="s">
        <v>979</v>
      </c>
      <c r="L82" s="4" t="s">
        <v>980</v>
      </c>
      <c r="M82" s="4" t="s">
        <v>981</v>
      </c>
      <c r="N82" s="4" t="s">
        <v>982</v>
      </c>
      <c r="O82" s="4" t="s">
        <v>983</v>
      </c>
      <c r="P82" s="4" t="s">
        <v>984</v>
      </c>
      <c r="Q82" s="4" t="s">
        <v>985</v>
      </c>
      <c r="R82" s="4" t="s">
        <v>41</v>
      </c>
      <c r="S82" s="4" t="s">
        <v>986</v>
      </c>
      <c r="T82" s="4" t="s">
        <v>987</v>
      </c>
      <c r="U82" s="4" t="s">
        <v>44</v>
      </c>
    </row>
    <row r="83" customFormat="false" ht="150" hidden="false" customHeight="true" outlineLevel="0" collapsed="false">
      <c r="A83" s="4" t="n">
        <v>82</v>
      </c>
      <c r="B83" s="4" t="n">
        <v>28</v>
      </c>
      <c r="C83" s="5" t="n">
        <f aca="false">Budget!$B$4+B83-1</f>
        <v>46323</v>
      </c>
      <c r="D83" s="4" t="s">
        <v>29</v>
      </c>
      <c r="E83" s="4" t="s">
        <v>988</v>
      </c>
      <c r="F83" s="4" t="s">
        <v>76</v>
      </c>
      <c r="G83" s="4" t="s">
        <v>989</v>
      </c>
      <c r="H83" s="4" t="s">
        <v>990</v>
      </c>
      <c r="I83" s="4" t="n">
        <f aca="false">LEN(H83)</f>
        <v>504</v>
      </c>
      <c r="J83" s="4" t="n">
        <f aca="false">ROUND(I83/Budget!$B$5,0)</f>
        <v>34</v>
      </c>
      <c r="K83" s="4" t="s">
        <v>991</v>
      </c>
      <c r="L83" s="4" t="s">
        <v>992</v>
      </c>
      <c r="M83" s="4" t="s">
        <v>993</v>
      </c>
      <c r="N83" s="4" t="s">
        <v>994</v>
      </c>
      <c r="O83" s="4" t="s">
        <v>995</v>
      </c>
      <c r="P83" s="4" t="s">
        <v>996</v>
      </c>
      <c r="Q83" s="4" t="s">
        <v>997</v>
      </c>
      <c r="R83" s="4" t="s">
        <v>41</v>
      </c>
      <c r="S83" s="4" t="s">
        <v>998</v>
      </c>
      <c r="T83" s="4" t="s">
        <v>999</v>
      </c>
      <c r="U83" s="4" t="s">
        <v>44</v>
      </c>
    </row>
    <row r="84" customFormat="false" ht="150" hidden="false" customHeight="true" outlineLevel="0" collapsed="false">
      <c r="A84" s="4" t="n">
        <v>83</v>
      </c>
      <c r="B84" s="4" t="n">
        <v>28</v>
      </c>
      <c r="C84" s="5" t="n">
        <f aca="false">Budget!$B$4+B84-1</f>
        <v>46323</v>
      </c>
      <c r="D84" s="4" t="s">
        <v>45</v>
      </c>
      <c r="E84" s="4" t="s">
        <v>1000</v>
      </c>
      <c r="F84" s="4" t="s">
        <v>90</v>
      </c>
      <c r="G84" s="4" t="s">
        <v>1001</v>
      </c>
      <c r="H84" s="4" t="s">
        <v>1002</v>
      </c>
      <c r="I84" s="4" t="n">
        <f aca="false">LEN(H84)</f>
        <v>494</v>
      </c>
      <c r="J84" s="4" t="n">
        <f aca="false">ROUND(I84/Budget!$B$5,0)</f>
        <v>33</v>
      </c>
      <c r="K84" s="4" t="s">
        <v>1003</v>
      </c>
      <c r="L84" s="4" t="s">
        <v>1004</v>
      </c>
      <c r="M84" s="4" t="s">
        <v>1005</v>
      </c>
      <c r="N84" s="4" t="s">
        <v>1006</v>
      </c>
      <c r="O84" s="4" t="s">
        <v>1007</v>
      </c>
      <c r="P84" s="4" t="s">
        <v>1008</v>
      </c>
      <c r="Q84" s="4" t="s">
        <v>1009</v>
      </c>
      <c r="R84" s="4" t="s">
        <v>86</v>
      </c>
      <c r="S84" s="4" t="s">
        <v>1010</v>
      </c>
      <c r="T84" s="4" t="s">
        <v>1011</v>
      </c>
      <c r="U84" s="4" t="s">
        <v>44</v>
      </c>
    </row>
    <row r="85" customFormat="false" ht="150" hidden="false" customHeight="true" outlineLevel="0" collapsed="false">
      <c r="A85" s="4" t="n">
        <v>84</v>
      </c>
      <c r="B85" s="4" t="n">
        <v>28</v>
      </c>
      <c r="C85" s="5" t="n">
        <f aca="false">Budget!$B$4+B85-1</f>
        <v>46323</v>
      </c>
      <c r="D85" s="4" t="s">
        <v>60</v>
      </c>
      <c r="E85" s="4" t="s">
        <v>1012</v>
      </c>
      <c r="F85" s="4" t="s">
        <v>104</v>
      </c>
      <c r="G85" s="4" t="s">
        <v>1013</v>
      </c>
      <c r="H85" s="4" t="s">
        <v>1014</v>
      </c>
      <c r="I85" s="4" t="n">
        <f aca="false">LEN(H85)</f>
        <v>503</v>
      </c>
      <c r="J85" s="4" t="n">
        <f aca="false">ROUND(I85/Budget!$B$5,0)</f>
        <v>34</v>
      </c>
      <c r="K85" s="4" t="s">
        <v>1015</v>
      </c>
      <c r="L85" s="4" t="s">
        <v>1016</v>
      </c>
      <c r="M85" s="4" t="s">
        <v>1017</v>
      </c>
      <c r="N85" s="4" t="s">
        <v>1018</v>
      </c>
      <c r="O85" s="4" t="s">
        <v>1019</v>
      </c>
      <c r="P85" s="4" t="s">
        <v>1020</v>
      </c>
      <c r="Q85" s="4" t="s">
        <v>113</v>
      </c>
      <c r="R85" s="4" t="s">
        <v>86</v>
      </c>
      <c r="S85" s="4" t="s">
        <v>1021</v>
      </c>
      <c r="T85" s="4" t="s">
        <v>1022</v>
      </c>
      <c r="U85" s="4" t="s">
        <v>44</v>
      </c>
    </row>
    <row r="86" customFormat="false" ht="150" hidden="false" customHeight="true" outlineLevel="0" collapsed="false">
      <c r="A86" s="4" t="n">
        <v>85</v>
      </c>
      <c r="B86" s="4" t="n">
        <v>29</v>
      </c>
      <c r="C86" s="5" t="n">
        <f aca="false">Budget!$B$4+B86-1</f>
        <v>46324</v>
      </c>
      <c r="D86" s="4" t="s">
        <v>29</v>
      </c>
      <c r="E86" s="4" t="s">
        <v>1023</v>
      </c>
      <c r="F86" s="4" t="s">
        <v>31</v>
      </c>
      <c r="G86" s="4" t="s">
        <v>1024</v>
      </c>
      <c r="H86" s="4" t="s">
        <v>1025</v>
      </c>
      <c r="I86" s="4" t="n">
        <f aca="false">LEN(H86)</f>
        <v>527</v>
      </c>
      <c r="J86" s="4" t="n">
        <f aca="false">ROUND(I86/Budget!$B$5,0)</f>
        <v>35</v>
      </c>
      <c r="K86" s="4" t="s">
        <v>1026</v>
      </c>
      <c r="L86" s="4" t="s">
        <v>1027</v>
      </c>
      <c r="M86" s="4" t="s">
        <v>1028</v>
      </c>
      <c r="N86" s="4" t="s">
        <v>1029</v>
      </c>
      <c r="O86" s="4" t="s">
        <v>1030</v>
      </c>
      <c r="P86" s="4" t="s">
        <v>1031</v>
      </c>
      <c r="Q86" s="4" t="s">
        <v>113</v>
      </c>
      <c r="R86" s="4" t="s">
        <v>86</v>
      </c>
      <c r="S86" s="4" t="s">
        <v>1032</v>
      </c>
      <c r="T86" s="4" t="s">
        <v>1033</v>
      </c>
      <c r="U86" s="4" t="s">
        <v>44</v>
      </c>
    </row>
    <row r="87" customFormat="false" ht="150" hidden="false" customHeight="true" outlineLevel="0" collapsed="false">
      <c r="A87" s="4" t="n">
        <v>86</v>
      </c>
      <c r="B87" s="4" t="n">
        <v>29</v>
      </c>
      <c r="C87" s="5" t="n">
        <f aca="false">Budget!$B$4+B87-1</f>
        <v>46324</v>
      </c>
      <c r="D87" s="4" t="s">
        <v>45</v>
      </c>
      <c r="E87" s="4" t="s">
        <v>1034</v>
      </c>
      <c r="F87" s="4" t="s">
        <v>47</v>
      </c>
      <c r="G87" s="4" t="s">
        <v>1035</v>
      </c>
      <c r="H87" s="4" t="s">
        <v>1036</v>
      </c>
      <c r="I87" s="4" t="n">
        <f aca="false">LEN(H87)</f>
        <v>462</v>
      </c>
      <c r="J87" s="4" t="n">
        <f aca="false">ROUND(I87/Budget!$B$5,0)</f>
        <v>31</v>
      </c>
      <c r="K87" s="4" t="s">
        <v>1037</v>
      </c>
      <c r="L87" s="4" t="s">
        <v>1038</v>
      </c>
      <c r="M87" s="4" t="s">
        <v>1039</v>
      </c>
      <c r="N87" s="4" t="s">
        <v>1040</v>
      </c>
      <c r="O87" s="4" t="s">
        <v>1041</v>
      </c>
      <c r="P87" s="4" t="s">
        <v>1042</v>
      </c>
      <c r="Q87" s="4" t="s">
        <v>1043</v>
      </c>
      <c r="R87" s="4" t="s">
        <v>86</v>
      </c>
      <c r="S87" s="4" t="s">
        <v>1044</v>
      </c>
      <c r="T87" s="4" t="s">
        <v>1045</v>
      </c>
      <c r="U87" s="4" t="s">
        <v>44</v>
      </c>
    </row>
    <row r="88" customFormat="false" ht="150" hidden="false" customHeight="true" outlineLevel="0" collapsed="false">
      <c r="A88" s="4" t="n">
        <v>87</v>
      </c>
      <c r="B88" s="4" t="n">
        <v>29</v>
      </c>
      <c r="C88" s="5" t="n">
        <f aca="false">Budget!$B$4+B88-1</f>
        <v>46324</v>
      </c>
      <c r="D88" s="4" t="s">
        <v>60</v>
      </c>
      <c r="E88" s="4" t="s">
        <v>1046</v>
      </c>
      <c r="F88" s="4" t="s">
        <v>62</v>
      </c>
      <c r="G88" s="4" t="s">
        <v>1047</v>
      </c>
      <c r="H88" s="4" t="s">
        <v>1048</v>
      </c>
      <c r="I88" s="4" t="n">
        <f aca="false">LEN(H88)</f>
        <v>474</v>
      </c>
      <c r="J88" s="4" t="n">
        <f aca="false">ROUND(I88/Budget!$B$5,0)</f>
        <v>32</v>
      </c>
      <c r="K88" s="4" t="s">
        <v>1049</v>
      </c>
      <c r="L88" s="4" t="s">
        <v>1050</v>
      </c>
      <c r="M88" s="4" t="s">
        <v>1051</v>
      </c>
      <c r="N88" s="4" t="s">
        <v>1052</v>
      </c>
      <c r="O88" s="4" t="s">
        <v>1053</v>
      </c>
      <c r="P88" s="4" t="s">
        <v>1054</v>
      </c>
      <c r="Q88" s="4" t="s">
        <v>568</v>
      </c>
      <c r="R88" s="4" t="s">
        <v>114</v>
      </c>
      <c r="S88" s="4" t="s">
        <v>1055</v>
      </c>
      <c r="T88" s="4" t="s">
        <v>1056</v>
      </c>
      <c r="U88" s="4" t="s">
        <v>44</v>
      </c>
    </row>
    <row r="89" customFormat="false" ht="150" hidden="false" customHeight="true" outlineLevel="0" collapsed="false">
      <c r="A89" s="4" t="n">
        <v>88</v>
      </c>
      <c r="B89" s="4" t="n">
        <v>30</v>
      </c>
      <c r="C89" s="5" t="n">
        <f aca="false">Budget!$B$4+B89-1</f>
        <v>46325</v>
      </c>
      <c r="D89" s="4" t="s">
        <v>29</v>
      </c>
      <c r="E89" s="4" t="s">
        <v>1057</v>
      </c>
      <c r="F89" s="4" t="s">
        <v>76</v>
      </c>
      <c r="G89" s="4" t="s">
        <v>1058</v>
      </c>
      <c r="H89" s="4" t="s">
        <v>1059</v>
      </c>
      <c r="I89" s="4" t="n">
        <f aca="false">LEN(H89)</f>
        <v>480</v>
      </c>
      <c r="J89" s="4" t="n">
        <f aca="false">ROUND(I89/Budget!$B$5,0)</f>
        <v>32</v>
      </c>
      <c r="K89" s="4" t="s">
        <v>1060</v>
      </c>
      <c r="L89" s="4" t="s">
        <v>1061</v>
      </c>
      <c r="M89" s="4" t="s">
        <v>1062</v>
      </c>
      <c r="N89" s="4" t="s">
        <v>1063</v>
      </c>
      <c r="O89" s="4" t="s">
        <v>1064</v>
      </c>
      <c r="P89" s="4" t="s">
        <v>1065</v>
      </c>
      <c r="Q89" s="4" t="s">
        <v>230</v>
      </c>
      <c r="R89" s="4" t="s">
        <v>57</v>
      </c>
      <c r="S89" s="4" t="s">
        <v>1066</v>
      </c>
      <c r="T89" s="4" t="s">
        <v>1067</v>
      </c>
      <c r="U89" s="4" t="s">
        <v>44</v>
      </c>
    </row>
    <row r="90" customFormat="false" ht="150" hidden="false" customHeight="true" outlineLevel="0" collapsed="false">
      <c r="A90" s="4" t="n">
        <v>89</v>
      </c>
      <c r="B90" s="4" t="n">
        <v>30</v>
      </c>
      <c r="C90" s="5" t="n">
        <f aca="false">Budget!$B$4+B90-1</f>
        <v>46325</v>
      </c>
      <c r="D90" s="4" t="s">
        <v>45</v>
      </c>
      <c r="E90" s="4" t="s">
        <v>1068</v>
      </c>
      <c r="F90" s="4" t="s">
        <v>90</v>
      </c>
      <c r="G90" s="4" t="s">
        <v>1069</v>
      </c>
      <c r="H90" s="4" t="s">
        <v>1070</v>
      </c>
      <c r="I90" s="4" t="n">
        <f aca="false">LEN(H90)</f>
        <v>484</v>
      </c>
      <c r="J90" s="4" t="n">
        <f aca="false">ROUND(I90/Budget!$B$5,0)</f>
        <v>32</v>
      </c>
      <c r="K90" s="4" t="s">
        <v>1071</v>
      </c>
      <c r="L90" s="4" t="s">
        <v>1072</v>
      </c>
      <c r="M90" s="4" t="s">
        <v>1073</v>
      </c>
      <c r="N90" s="4" t="s">
        <v>1074</v>
      </c>
      <c r="O90" s="4" t="s">
        <v>1075</v>
      </c>
      <c r="P90" s="4" t="s">
        <v>1076</v>
      </c>
      <c r="Q90" s="4" t="s">
        <v>1077</v>
      </c>
      <c r="R90" s="4" t="s">
        <v>57</v>
      </c>
      <c r="S90" s="4" t="s">
        <v>1078</v>
      </c>
      <c r="T90" s="4" t="s">
        <v>1079</v>
      </c>
      <c r="U90" s="4" t="s">
        <v>44</v>
      </c>
    </row>
    <row r="91" customFormat="false" ht="150" hidden="false" customHeight="true" outlineLevel="0" collapsed="false">
      <c r="A91" s="4" t="n">
        <v>90</v>
      </c>
      <c r="B91" s="4" t="n">
        <v>30</v>
      </c>
      <c r="C91" s="5" t="n">
        <f aca="false">Budget!$B$4+B91-1</f>
        <v>46325</v>
      </c>
      <c r="D91" s="4" t="s">
        <v>60</v>
      </c>
      <c r="E91" s="4" t="s">
        <v>1080</v>
      </c>
      <c r="F91" s="4" t="s">
        <v>104</v>
      </c>
      <c r="G91" s="4" t="s">
        <v>1081</v>
      </c>
      <c r="H91" s="4" t="s">
        <v>1082</v>
      </c>
      <c r="I91" s="4" t="n">
        <f aca="false">LEN(H91)</f>
        <v>481</v>
      </c>
      <c r="J91" s="4" t="n">
        <f aca="false">ROUND(I91/Budget!$B$5,0)</f>
        <v>32</v>
      </c>
      <c r="K91" s="4" t="s">
        <v>1083</v>
      </c>
      <c r="L91" s="4" t="s">
        <v>1084</v>
      </c>
      <c r="M91" s="4" t="s">
        <v>1085</v>
      </c>
      <c r="N91" s="4" t="s">
        <v>1086</v>
      </c>
      <c r="O91" s="4" t="s">
        <v>1087</v>
      </c>
      <c r="P91" s="4" t="s">
        <v>1088</v>
      </c>
      <c r="Q91" s="4" t="s">
        <v>254</v>
      </c>
      <c r="R91" s="4" t="s">
        <v>114</v>
      </c>
      <c r="S91" s="4" t="s">
        <v>1089</v>
      </c>
      <c r="T91" s="4" t="s">
        <v>1090</v>
      </c>
      <c r="U91" s="4" t="s">
        <v>44</v>
      </c>
    </row>
  </sheetData>
  <autoFilter ref="A1:U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5" min="2" style="0" width="16"/>
    <col collapsed="false" customWidth="true" hidden="false" outlineLevel="0" max="6" min="6" style="0" width="70"/>
  </cols>
  <sheetData>
    <row r="1" customFormat="false" ht="17.35" hidden="false" customHeight="false" outlineLevel="0" collapsed="false">
      <c r="A1" s="6" t="s">
        <v>1091</v>
      </c>
    </row>
    <row r="3" customFormat="false" ht="15" hidden="false" customHeight="false" outlineLevel="0" collapsed="false">
      <c r="A3" s="7" t="s">
        <v>1092</v>
      </c>
      <c r="B3" s="7" t="s">
        <v>1093</v>
      </c>
      <c r="C3" s="7"/>
      <c r="D3" s="7"/>
      <c r="E3" s="7"/>
      <c r="F3" s="7" t="s">
        <v>1094</v>
      </c>
    </row>
    <row r="4" customFormat="false" ht="15" hidden="false" customHeight="false" outlineLevel="0" collapsed="false">
      <c r="A4" s="8" t="s">
        <v>1095</v>
      </c>
      <c r="B4" s="9" t="n">
        <v>46296</v>
      </c>
      <c r="F4" s="8" t="s">
        <v>1096</v>
      </c>
    </row>
    <row r="5" customFormat="false" ht="15" hidden="false" customHeight="false" outlineLevel="0" collapsed="false">
      <c r="A5" s="8" t="s">
        <v>1097</v>
      </c>
      <c r="B5" s="10" t="n">
        <v>15</v>
      </c>
      <c r="F5" s="8" t="s">
        <v>1098</v>
      </c>
    </row>
    <row r="6" customFormat="false" ht="15" hidden="false" customHeight="false" outlineLevel="0" collapsed="false">
      <c r="A6" s="8" t="s">
        <v>1099</v>
      </c>
      <c r="B6" s="11" t="n">
        <f aca="false">ROUND(AVERAGE(Calendrier!I2:I91),0)</f>
        <v>493</v>
      </c>
      <c r="F6" s="8" t="s">
        <v>1100</v>
      </c>
    </row>
    <row r="7" customFormat="false" ht="15" hidden="false" customHeight="false" outlineLevel="0" collapsed="false">
      <c r="A7" s="8" t="s">
        <v>1101</v>
      </c>
      <c r="B7" s="12" t="n">
        <f aca="false">B6/B5/60</f>
        <v>0.547777777777778</v>
      </c>
      <c r="F7" s="8" t="s">
        <v>1102</v>
      </c>
    </row>
    <row r="8" customFormat="false" ht="15" hidden="false" customHeight="false" outlineLevel="0" collapsed="false">
      <c r="A8" s="8" t="s">
        <v>1103</v>
      </c>
      <c r="B8" s="10" t="n">
        <v>3</v>
      </c>
      <c r="F8" s="8" t="s">
        <v>1104</v>
      </c>
    </row>
    <row r="9" customFormat="false" ht="15" hidden="false" customHeight="false" outlineLevel="0" collapsed="false">
      <c r="A9" s="8" t="s">
        <v>1105</v>
      </c>
      <c r="B9" s="10" t="n">
        <v>30</v>
      </c>
      <c r="F9" s="8" t="s">
        <v>1106</v>
      </c>
    </row>
    <row r="10" customFormat="false" ht="15" hidden="false" customHeight="false" outlineLevel="0" collapsed="false">
      <c r="A10" s="8" t="s">
        <v>1107</v>
      </c>
      <c r="B10" s="13" t="n">
        <v>0.3</v>
      </c>
      <c r="F10" s="8" t="s">
        <v>1108</v>
      </c>
    </row>
    <row r="11" customFormat="false" ht="15" hidden="false" customHeight="false" outlineLevel="0" collapsed="false">
      <c r="A11" s="8" t="s">
        <v>1109</v>
      </c>
      <c r="B11" s="14" t="n">
        <v>0.86</v>
      </c>
      <c r="F11" s="8" t="s">
        <v>1110</v>
      </c>
    </row>
    <row r="13" customFormat="false" ht="15" hidden="false" customHeight="false" outlineLevel="0" collapsed="false">
      <c r="A13" s="7" t="s">
        <v>1111</v>
      </c>
      <c r="B13" s="7" t="s">
        <v>1112</v>
      </c>
      <c r="C13" s="7" t="s">
        <v>1113</v>
      </c>
      <c r="D13" s="7" t="s">
        <v>1114</v>
      </c>
      <c r="E13" s="7"/>
      <c r="F13" s="7" t="s">
        <v>1094</v>
      </c>
    </row>
    <row r="14" customFormat="false" ht="30" hidden="false" customHeight="true" outlineLevel="0" collapsed="false">
      <c r="A14" s="8" t="s">
        <v>1115</v>
      </c>
      <c r="B14" s="10" t="n">
        <v>6</v>
      </c>
      <c r="C14" s="10" t="n">
        <v>6</v>
      </c>
      <c r="D14" s="10" t="n">
        <v>8</v>
      </c>
      <c r="F14" s="2" t="s">
        <v>1116</v>
      </c>
    </row>
    <row r="15" customFormat="false" ht="30" hidden="false" customHeight="true" outlineLevel="0" collapsed="false">
      <c r="A15" s="8" t="s">
        <v>1117</v>
      </c>
      <c r="B15" s="15" t="n">
        <v>0.021</v>
      </c>
      <c r="C15" s="15" t="n">
        <v>0.045</v>
      </c>
      <c r="D15" s="15" t="n">
        <v>0.045</v>
      </c>
      <c r="F15" s="2" t="s">
        <v>1118</v>
      </c>
    </row>
    <row r="16" customFormat="false" ht="30" hidden="false" customHeight="true" outlineLevel="0" collapsed="false">
      <c r="A16" s="8" t="s">
        <v>1119</v>
      </c>
      <c r="B16" s="15" t="n">
        <v>0.04</v>
      </c>
      <c r="C16" s="15" t="n">
        <v>0.1</v>
      </c>
      <c r="D16" s="15" t="n">
        <v>0.1</v>
      </c>
      <c r="F16" s="2" t="s">
        <v>1120</v>
      </c>
    </row>
    <row r="17" customFormat="false" ht="30" hidden="false" customHeight="true" outlineLevel="0" collapsed="false">
      <c r="A17" s="8" t="s">
        <v>1121</v>
      </c>
      <c r="B17" s="15" t="n">
        <v>0.008</v>
      </c>
      <c r="C17" s="15" t="n">
        <v>0.008</v>
      </c>
      <c r="D17" s="15" t="n">
        <v>0.008</v>
      </c>
      <c r="F17" s="2" t="s">
        <v>1122</v>
      </c>
    </row>
    <row r="18" customFormat="false" ht="30" hidden="false" customHeight="true" outlineLevel="0" collapsed="false">
      <c r="A18" s="8" t="s">
        <v>1123</v>
      </c>
      <c r="B18" s="10" t="n">
        <v>0</v>
      </c>
      <c r="C18" s="10" t="n">
        <v>1</v>
      </c>
      <c r="D18" s="10" t="n">
        <v>3</v>
      </c>
      <c r="F18" s="2" t="s">
        <v>1124</v>
      </c>
    </row>
    <row r="19" customFormat="false" ht="30" hidden="false" customHeight="true" outlineLevel="0" collapsed="false">
      <c r="A19" s="8" t="s">
        <v>1125</v>
      </c>
      <c r="B19" s="10" t="n">
        <v>5</v>
      </c>
      <c r="C19" s="10" t="n">
        <v>5</v>
      </c>
      <c r="D19" s="10" t="n">
        <v>5</v>
      </c>
      <c r="F19" s="2"/>
    </row>
    <row r="20" customFormat="false" ht="30" hidden="false" customHeight="true" outlineLevel="0" collapsed="false">
      <c r="A20" s="8" t="s">
        <v>1126</v>
      </c>
      <c r="B20" s="15" t="n">
        <v>0</v>
      </c>
      <c r="C20" s="15" t="n">
        <v>0.07</v>
      </c>
      <c r="D20" s="15" t="n">
        <v>0.112</v>
      </c>
      <c r="F20" s="2" t="s">
        <v>1127</v>
      </c>
    </row>
    <row r="21" customFormat="false" ht="30" hidden="false" customHeight="true" outlineLevel="0" collapsed="false">
      <c r="A21" s="8" t="s">
        <v>1128</v>
      </c>
      <c r="B21" s="10" t="n">
        <v>0</v>
      </c>
      <c r="C21" s="10" t="n">
        <v>1</v>
      </c>
      <c r="D21" s="10" t="n">
        <v>3</v>
      </c>
      <c r="F21" s="2" t="s">
        <v>1129</v>
      </c>
    </row>
    <row r="22" customFormat="false" ht="30" hidden="false" customHeight="true" outlineLevel="0" collapsed="false">
      <c r="A22" s="8" t="s">
        <v>1130</v>
      </c>
      <c r="B22" s="15" t="n">
        <v>0.02</v>
      </c>
      <c r="C22" s="15" t="n">
        <v>0.02</v>
      </c>
      <c r="D22" s="15" t="n">
        <v>0.02</v>
      </c>
      <c r="F22" s="2" t="s">
        <v>1131</v>
      </c>
    </row>
    <row r="23" customFormat="false" ht="30" hidden="false" customHeight="true" outlineLevel="0" collapsed="false">
      <c r="A23" s="8" t="s">
        <v>1132</v>
      </c>
      <c r="B23" s="14" t="n">
        <v>0</v>
      </c>
      <c r="C23" s="14" t="n">
        <v>5.5</v>
      </c>
      <c r="D23" s="14" t="n">
        <v>5.5</v>
      </c>
      <c r="F23" s="2" t="s">
        <v>1133</v>
      </c>
    </row>
    <row r="25" customFormat="false" ht="15" hidden="false" customHeight="false" outlineLevel="0" collapsed="false">
      <c r="A25" s="7" t="s">
        <v>1134</v>
      </c>
      <c r="B25" s="7" t="s">
        <v>1112</v>
      </c>
      <c r="C25" s="7" t="s">
        <v>1113</v>
      </c>
      <c r="D25" s="7" t="s">
        <v>1114</v>
      </c>
      <c r="E25" s="7"/>
      <c r="F25" s="7"/>
    </row>
    <row r="26" customFormat="false" ht="45" hidden="false" customHeight="true" outlineLevel="0" collapsed="false">
      <c r="A26" s="8" t="s">
        <v>1135</v>
      </c>
      <c r="B26" s="16" t="n">
        <f aca="false">B14*B15</f>
        <v>0.126</v>
      </c>
      <c r="C26" s="16" t="n">
        <f aca="false">C14*C15</f>
        <v>0.27</v>
      </c>
      <c r="D26" s="16" t="n">
        <f aca="false">D14*D15</f>
        <v>0.36</v>
      </c>
      <c r="F26" s="2" t="s">
        <v>1136</v>
      </c>
    </row>
    <row r="27" customFormat="false" ht="15" hidden="false" customHeight="false" outlineLevel="0" collapsed="false">
      <c r="A27" s="8" t="s">
        <v>1137</v>
      </c>
      <c r="B27" s="16" t="n">
        <f aca="false">$B$6/1000*B16</f>
        <v>0.01972</v>
      </c>
      <c r="C27" s="16" t="n">
        <f aca="false">$B$6/1000*C16</f>
        <v>0.0493</v>
      </c>
      <c r="D27" s="16" t="n">
        <f aca="false">$B$6/1000*D16</f>
        <v>0.0493</v>
      </c>
    </row>
    <row r="28" customFormat="false" ht="15" hidden="false" customHeight="false" outlineLevel="0" collapsed="false">
      <c r="A28" s="8" t="s">
        <v>1138</v>
      </c>
      <c r="B28" s="16" t="n">
        <f aca="false">$B$7*B17</f>
        <v>0.00438222222222222</v>
      </c>
      <c r="C28" s="16" t="n">
        <f aca="false">$B$7*C17</f>
        <v>0.00438222222222222</v>
      </c>
      <c r="D28" s="16" t="n">
        <f aca="false">$B$7*D17</f>
        <v>0.00438222222222222</v>
      </c>
    </row>
    <row r="29" customFormat="false" ht="15" hidden="false" customHeight="false" outlineLevel="0" collapsed="false">
      <c r="A29" s="8" t="s">
        <v>1139</v>
      </c>
      <c r="B29" s="16" t="n">
        <f aca="false">B18*B19*B20</f>
        <v>0</v>
      </c>
      <c r="C29" s="16" t="n">
        <f aca="false">C18*C19*C20</f>
        <v>0.35</v>
      </c>
      <c r="D29" s="16" t="n">
        <f aca="false">D18*D19*D20</f>
        <v>1.68</v>
      </c>
    </row>
    <row r="30" customFormat="false" ht="15" hidden="false" customHeight="false" outlineLevel="0" collapsed="false">
      <c r="A30" s="8" t="s">
        <v>1140</v>
      </c>
      <c r="B30" s="16" t="n">
        <f aca="false">B21*B22</f>
        <v>0</v>
      </c>
      <c r="C30" s="16" t="n">
        <f aca="false">C21*C22</f>
        <v>0.02</v>
      </c>
      <c r="D30" s="16" t="n">
        <f aca="false">D21*D22</f>
        <v>0.06</v>
      </c>
    </row>
    <row r="31" customFormat="false" ht="15" hidden="false" customHeight="false" outlineLevel="0" collapsed="false">
      <c r="A31" s="8" t="s">
        <v>1141</v>
      </c>
      <c r="B31" s="16" t="n">
        <f aca="false">B23/($B$8*$B$9)</f>
        <v>0</v>
      </c>
      <c r="C31" s="16" t="n">
        <f aca="false">C23/($B$8*$B$9)</f>
        <v>0.0611111111111111</v>
      </c>
      <c r="D31" s="16" t="n">
        <f aca="false">D23/($B$8*$B$9)</f>
        <v>0.0611111111111111</v>
      </c>
    </row>
    <row r="32" customFormat="false" ht="15" hidden="false" customHeight="false" outlineLevel="0" collapsed="false">
      <c r="A32" s="8" t="s">
        <v>1142</v>
      </c>
      <c r="B32" s="16" t="n">
        <f aca="false">SUM(B26:B31)</f>
        <v>0.150102222222222</v>
      </c>
      <c r="C32" s="16" t="n">
        <f aca="false">SUM(C26:C31)</f>
        <v>0.754793333333333</v>
      </c>
      <c r="D32" s="16" t="n">
        <f aca="false">SUM(D26:D31)</f>
        <v>2.21479333333333</v>
      </c>
    </row>
    <row r="33" customFormat="false" ht="15" hidden="false" customHeight="false" outlineLevel="0" collapsed="false">
      <c r="A33" s="8" t="s">
        <v>1143</v>
      </c>
      <c r="B33" s="16" t="n">
        <f aca="false">B32*$B$10</f>
        <v>0.0450306666666667</v>
      </c>
      <c r="C33" s="16" t="n">
        <f aca="false">C32*$B$10</f>
        <v>0.226438</v>
      </c>
      <c r="D33" s="16" t="n">
        <f aca="false">D32*$B$10</f>
        <v>0.664438</v>
      </c>
    </row>
    <row r="34" customFormat="false" ht="15" hidden="false" customHeight="false" outlineLevel="0" collapsed="false">
      <c r="A34" s="17" t="s">
        <v>1144</v>
      </c>
      <c r="B34" s="18" t="n">
        <f aca="false">B32+B33</f>
        <v>0.195132888888889</v>
      </c>
      <c r="C34" s="18" t="n">
        <f aca="false">C32+C33</f>
        <v>0.981231333333334</v>
      </c>
      <c r="D34" s="18" t="n">
        <f aca="false">D32+D33</f>
        <v>2.87923133333333</v>
      </c>
    </row>
    <row r="35" customFormat="false" ht="15" hidden="false" customHeight="false" outlineLevel="0" collapsed="false">
      <c r="A35" s="17" t="s">
        <v>1145</v>
      </c>
      <c r="B35" s="19" t="n">
        <f aca="false">B34*$B$11</f>
        <v>0.167814284444444</v>
      </c>
      <c r="C35" s="19" t="n">
        <f aca="false">C34*$B$11</f>
        <v>0.843858946666667</v>
      </c>
      <c r="D35" s="19" t="n">
        <f aca="false">D34*$B$11</f>
        <v>2.47613894666667</v>
      </c>
    </row>
    <row r="36" customFormat="false" ht="15" hidden="false" customHeight="false" outlineLevel="0" collapsed="false">
      <c r="A36" s="17" t="s">
        <v>1146</v>
      </c>
      <c r="B36" s="19" t="n">
        <f aca="false">B35*$B$8</f>
        <v>0.503442853333333</v>
      </c>
      <c r="C36" s="19" t="n">
        <f aca="false">C35*$B$8</f>
        <v>2.53157684</v>
      </c>
      <c r="D36" s="19" t="n">
        <f aca="false">D35*$B$8</f>
        <v>7.42841684</v>
      </c>
    </row>
    <row r="37" customFormat="false" ht="15" hidden="false" customHeight="false" outlineLevel="0" collapsed="false">
      <c r="A37" s="17" t="s">
        <v>1147</v>
      </c>
      <c r="B37" s="19" t="n">
        <f aca="false">B35*$B$8*$B$9</f>
        <v>15.1032856</v>
      </c>
      <c r="C37" s="19" t="n">
        <f aca="false">C35*$B$8*$B$9</f>
        <v>75.9473052</v>
      </c>
      <c r="D37" s="19" t="n">
        <f aca="false">D35*$B$8*$B$9</f>
        <v>222.8525052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30" hidden="false" customHeight="true" outlineLevel="0" collapsed="false">
      <c r="A1" s="20" t="s">
        <v>1148</v>
      </c>
      <c r="B1" s="21" t="s">
        <v>1149</v>
      </c>
    </row>
    <row r="2" customFormat="false" ht="45" hidden="false" customHeight="true" outlineLevel="0" collapsed="false">
      <c r="A2" s="20" t="s">
        <v>1150</v>
      </c>
      <c r="B2" s="21" t="s">
        <v>1151</v>
      </c>
    </row>
    <row r="3" customFormat="false" ht="45" hidden="false" customHeight="true" outlineLevel="0" collapsed="false">
      <c r="A3" s="20" t="s">
        <v>1152</v>
      </c>
      <c r="B3" s="21" t="s">
        <v>1153</v>
      </c>
    </row>
    <row r="4" customFormat="false" ht="30" hidden="false" customHeight="true" outlineLevel="0" collapsed="false">
      <c r="A4" s="20" t="s">
        <v>1154</v>
      </c>
      <c r="B4" s="21" t="s">
        <v>1155</v>
      </c>
    </row>
    <row r="5" customFormat="false" ht="45" hidden="false" customHeight="true" outlineLevel="0" collapsed="false">
      <c r="A5" s="20" t="s">
        <v>1156</v>
      </c>
      <c r="B5" s="21" t="s">
        <v>1157</v>
      </c>
    </row>
    <row r="6" customFormat="false" ht="45" hidden="false" customHeight="true" outlineLevel="0" collapsed="false">
      <c r="A6" s="20" t="s">
        <v>1158</v>
      </c>
      <c r="B6" s="21" t="s">
        <v>1159</v>
      </c>
    </row>
    <row r="7" customFormat="false" ht="60" hidden="false" customHeight="true" outlineLevel="0" collapsed="false">
      <c r="A7" s="20" t="s">
        <v>1160</v>
      </c>
      <c r="B7" s="21" t="s">
        <v>1161</v>
      </c>
    </row>
    <row r="8" customFormat="false" ht="30" hidden="false" customHeight="true" outlineLevel="0" collapsed="false">
      <c r="A8" s="20" t="s">
        <v>1162</v>
      </c>
      <c r="B8" s="21" t="s">
        <v>1163</v>
      </c>
    </row>
    <row r="9" customFormat="false" ht="45" hidden="false" customHeight="true" outlineLevel="0" collapsed="false">
      <c r="A9" s="20" t="s">
        <v>1164</v>
      </c>
      <c r="B9" s="21" t="s">
        <v>1165</v>
      </c>
    </row>
    <row r="10" customFormat="false" ht="30" hidden="false" customHeight="true" outlineLevel="0" collapsed="false">
      <c r="A10" s="20" t="s">
        <v>1166</v>
      </c>
      <c r="B10" s="21" t="s">
        <v>1167</v>
      </c>
    </row>
    <row r="11" customFormat="false" ht="30" hidden="false" customHeight="true" outlineLevel="0" collapsed="false">
      <c r="A11" s="20" t="s">
        <v>1168</v>
      </c>
      <c r="B11" s="21" t="s">
        <v>1169</v>
      </c>
    </row>
    <row r="12" customFormat="false" ht="30" hidden="false" customHeight="true" outlineLevel="0" collapsed="false">
      <c r="A12" s="20" t="s">
        <v>1170</v>
      </c>
      <c r="B12" s="21" t="s">
        <v>1171</v>
      </c>
    </row>
    <row r="13" customFormat="false" ht="30" hidden="false" customHeight="true" outlineLevel="0" collapsed="false">
      <c r="A13" s="20"/>
      <c r="B13" s="21"/>
    </row>
    <row r="14" customFormat="false" ht="120" hidden="false" customHeight="true" outlineLevel="0" collapsed="false">
      <c r="A14" s="20" t="s">
        <v>1172</v>
      </c>
      <c r="B14" s="21" t="s">
        <v>1173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95"/>
    <col collapsed="false" customWidth="true" hidden="false" outlineLevel="0" max="4" min="4" style="0" width="12"/>
  </cols>
  <sheetData>
    <row r="1" customFormat="false" ht="15" hidden="false" customHeight="false" outlineLevel="0" collapsed="false">
      <c r="A1" s="22" t="s">
        <v>1174</v>
      </c>
      <c r="B1" s="22" t="s">
        <v>1175</v>
      </c>
      <c r="C1" s="22" t="s">
        <v>1176</v>
      </c>
      <c r="D1" s="22" t="s">
        <v>1177</v>
      </c>
    </row>
    <row r="2" customFormat="false" ht="15" hidden="false" customHeight="false" outlineLevel="0" collapsed="false">
      <c r="A2" s="8" t="s">
        <v>24</v>
      </c>
      <c r="B2" s="8" t="s">
        <v>254</v>
      </c>
      <c r="C2" s="8" t="s">
        <v>1178</v>
      </c>
      <c r="D2" s="8" t="n">
        <f aca="false">COUNTIF(Calendrier!Q2:Q91,"*whoosh*")</f>
        <v>44</v>
      </c>
    </row>
    <row r="3" customFormat="false" ht="15" hidden="false" customHeight="false" outlineLevel="0" collapsed="false">
      <c r="A3" s="8" t="s">
        <v>24</v>
      </c>
      <c r="B3" s="8" t="s">
        <v>1179</v>
      </c>
      <c r="C3" s="8" t="s">
        <v>1180</v>
      </c>
      <c r="D3" s="8" t="n">
        <f aca="false">COUNTIF(Calendrier!Q2:Q91,"*deep_boom*")</f>
        <v>27</v>
      </c>
    </row>
    <row r="4" customFormat="false" ht="15" hidden="false" customHeight="false" outlineLevel="0" collapsed="false">
      <c r="A4" s="8" t="s">
        <v>24</v>
      </c>
      <c r="B4" s="8" t="s">
        <v>1181</v>
      </c>
      <c r="C4" s="8" t="s">
        <v>1182</v>
      </c>
      <c r="D4" s="8" t="n">
        <f aca="false">COUNTIF(Calendrier!Q2:Q91,"*riser*")</f>
        <v>19</v>
      </c>
    </row>
    <row r="5" customFormat="false" ht="15" hidden="false" customHeight="false" outlineLevel="0" collapsed="false">
      <c r="A5" s="8" t="s">
        <v>24</v>
      </c>
      <c r="B5" s="8" t="s">
        <v>1183</v>
      </c>
      <c r="C5" s="8" t="s">
        <v>1184</v>
      </c>
      <c r="D5" s="8" t="n">
        <f aca="false">COUNTIF(Calendrier!Q2:Q91,"*rumble*")</f>
        <v>16</v>
      </c>
    </row>
    <row r="6" customFormat="false" ht="15" hidden="false" customHeight="false" outlineLevel="0" collapsed="false">
      <c r="A6" s="8" t="s">
        <v>24</v>
      </c>
      <c r="B6" s="8" t="s">
        <v>172</v>
      </c>
      <c r="C6" s="8" t="s">
        <v>1185</v>
      </c>
      <c r="D6" s="8" t="n">
        <f aca="false">COUNTIF(Calendrier!Q2:Q91,"*beep*")</f>
        <v>13</v>
      </c>
    </row>
    <row r="7" customFormat="false" ht="15" hidden="false" customHeight="false" outlineLevel="0" collapsed="false">
      <c r="A7" s="8" t="s">
        <v>24</v>
      </c>
      <c r="B7" s="8" t="s">
        <v>1186</v>
      </c>
      <c r="C7" s="8" t="s">
        <v>1187</v>
      </c>
      <c r="D7" s="8" t="n">
        <f aca="false">COUNTIF(Calendrier!Q2:Q91,"*heartbeat*")</f>
        <v>5</v>
      </c>
    </row>
    <row r="8" customFormat="false" ht="15" hidden="false" customHeight="false" outlineLevel="0" collapsed="false">
      <c r="A8" s="8" t="s">
        <v>24</v>
      </c>
      <c r="B8" s="8" t="s">
        <v>1188</v>
      </c>
      <c r="C8" s="8" t="s">
        <v>1189</v>
      </c>
      <c r="D8" s="8" t="n">
        <f aca="false">COUNTIF(Calendrier!Q2:Q91,"*wind*")</f>
        <v>11</v>
      </c>
    </row>
    <row r="9" customFormat="false" ht="15" hidden="false" customHeight="false" outlineLevel="0" collapsed="false">
      <c r="A9" s="8" t="s">
        <v>24</v>
      </c>
      <c r="B9" s="8" t="s">
        <v>1190</v>
      </c>
      <c r="C9" s="8" t="s">
        <v>1191</v>
      </c>
      <c r="D9" s="8" t="n">
        <f aca="false">COUNTIF(Calendrier!Q2:Q91,"*crackle*")</f>
        <v>5</v>
      </c>
    </row>
    <row r="10" customFormat="false" ht="15" hidden="false" customHeight="false" outlineLevel="0" collapsed="false">
      <c r="A10" s="8" t="s">
        <v>24</v>
      </c>
      <c r="B10" s="8" t="s">
        <v>1192</v>
      </c>
      <c r="C10" s="8" t="s">
        <v>1193</v>
      </c>
      <c r="D10" s="8" t="n">
        <f aca="false">COUNTIF(Calendrier!Q2:Q91,"*glass_crack*")</f>
        <v>3</v>
      </c>
    </row>
    <row r="11" customFormat="false" ht="15" hidden="false" customHeight="false" outlineLevel="0" collapsed="false">
      <c r="A11" s="8" t="s">
        <v>24</v>
      </c>
      <c r="B11" s="8" t="s">
        <v>1194</v>
      </c>
      <c r="C11" s="8" t="s">
        <v>1195</v>
      </c>
      <c r="D11" s="8" t="n">
        <f aca="false">COUNTIF(Calendrier!Q2:Q91,"*launch*")</f>
        <v>8</v>
      </c>
    </row>
    <row r="12" customFormat="false" ht="15" hidden="false" customHeight="false" outlineLevel="0" collapsed="false">
      <c r="A12" s="8" t="s">
        <v>24</v>
      </c>
      <c r="B12" s="8" t="s">
        <v>1196</v>
      </c>
      <c r="C12" s="8" t="s">
        <v>1197</v>
      </c>
      <c r="D12" s="8" t="n">
        <f aca="false">COUNTIF(Calendrier!Q2:Q91,"*static*")</f>
        <v>5</v>
      </c>
    </row>
    <row r="13" customFormat="false" ht="15" hidden="false" customHeight="false" outlineLevel="0" collapsed="false">
      <c r="A13" s="8" t="s">
        <v>24</v>
      </c>
      <c r="B13" s="8" t="s">
        <v>395</v>
      </c>
      <c r="C13" s="8" t="s">
        <v>1198</v>
      </c>
      <c r="D13" s="8" t="n">
        <f aca="false">COUNTIF(Calendrier!Q2:Q91,"*chime*")</f>
        <v>31</v>
      </c>
    </row>
    <row r="14" customFormat="false" ht="15" hidden="false" customHeight="false" outlineLevel="0" collapsed="false">
      <c r="A14" s="8" t="s">
        <v>25</v>
      </c>
      <c r="B14" s="8" t="s">
        <v>57</v>
      </c>
      <c r="C14" s="8" t="s">
        <v>1199</v>
      </c>
      <c r="D14" s="8" t="n">
        <f aca="false">COUNTIF(Calendrier!R2:R91,"epic")</f>
        <v>19</v>
      </c>
    </row>
    <row r="15" customFormat="false" ht="15" hidden="false" customHeight="false" outlineLevel="0" collapsed="false">
      <c r="A15" s="8" t="s">
        <v>25</v>
      </c>
      <c r="B15" s="8" t="s">
        <v>41</v>
      </c>
      <c r="C15" s="8" t="s">
        <v>1200</v>
      </c>
      <c r="D15" s="8" t="n">
        <f aca="false">COUNTIF(Calendrier!R2:R91,"mystery")</f>
        <v>12</v>
      </c>
    </row>
    <row r="16" customFormat="false" ht="15" hidden="false" customHeight="false" outlineLevel="0" collapsed="false">
      <c r="A16" s="8" t="s">
        <v>25</v>
      </c>
      <c r="B16" s="8" t="s">
        <v>86</v>
      </c>
      <c r="C16" s="8" t="s">
        <v>1201</v>
      </c>
      <c r="D16" s="8" t="n">
        <f aca="false">COUNTIF(Calendrier!R2:R91,"wonder")</f>
        <v>22</v>
      </c>
    </row>
    <row r="17" customFormat="false" ht="15" hidden="false" customHeight="false" outlineLevel="0" collapsed="false">
      <c r="A17" s="8" t="s">
        <v>25</v>
      </c>
      <c r="B17" s="8" t="s">
        <v>72</v>
      </c>
      <c r="C17" s="8" t="s">
        <v>1202</v>
      </c>
      <c r="D17" s="8" t="n">
        <f aca="false">COUNTIF(Calendrier!R2:R91,"tension")</f>
        <v>12</v>
      </c>
    </row>
    <row r="18" customFormat="false" ht="15" hidden="false" customHeight="false" outlineLevel="0" collapsed="false">
      <c r="A18" s="8" t="s">
        <v>25</v>
      </c>
      <c r="B18" s="8" t="s">
        <v>100</v>
      </c>
      <c r="C18" s="8" t="s">
        <v>1203</v>
      </c>
      <c r="D18" s="8" t="n">
        <f aca="false">COUNTIF(Calendrier!R2:R91,"retro")</f>
        <v>7</v>
      </c>
    </row>
    <row r="19" customFormat="false" ht="15" hidden="false" customHeight="false" outlineLevel="0" collapsed="false">
      <c r="A19" s="8" t="s">
        <v>25</v>
      </c>
      <c r="B19" s="8" t="s">
        <v>114</v>
      </c>
      <c r="C19" s="8" t="s">
        <v>1204</v>
      </c>
      <c r="D19" s="8" t="n">
        <f aca="false">COUNTIF(Calendrier!R2:R91,"calm")</f>
        <v>18</v>
      </c>
    </row>
    <row r="21" customFormat="false" ht="15" hidden="false" customHeight="false" outlineLevel="0" collapsed="false">
      <c r="A21" s="8" t="s">
        <v>1205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2026-09-30T15:27:51Z</dcterms:created>
  <dc:creator>openpyxl</dc:creator>
  <dc:description/>
  <dc:language>en-US</dc:language>
  <cp:lastModifiedBy/>
  <dcterms:modified xsi:type="dcterms:W3CDTF">2026-09-30T15:27:51Z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